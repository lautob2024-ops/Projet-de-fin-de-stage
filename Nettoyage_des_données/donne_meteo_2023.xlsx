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SA\PLUVIOMETRIE\PLUV_2023\"/>
    </mc:Choice>
  </mc:AlternateContent>
  <xr:revisionPtr revIDLastSave="0" documentId="13_ncr:1_{D6F2B2F6-1722-4E5A-92BB-3C6B84E473CE}" xr6:coauthVersionLast="47" xr6:coauthVersionMax="47" xr10:uidLastSave="{00000000-0000-0000-0000-000000000000}"/>
  <bookViews>
    <workbookView xWindow="-108" yWindow="-108" windowWidth="23256" windowHeight="12576" activeTab="1" xr2:uid="{94491584-DF1A-4D3F-9150-DD5A00A153A8}"/>
  </bookViews>
  <sheets>
    <sheet name="BENIN (2)" sheetId="1" r:id="rId1"/>
    <sheet name="BENIN (3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00" i="1" l="1"/>
  <c r="AC100" i="1"/>
  <c r="AD99" i="1"/>
  <c r="AC99" i="1"/>
  <c r="AD98" i="1"/>
  <c r="AC98" i="1"/>
  <c r="AD97" i="1"/>
  <c r="AC97" i="1"/>
  <c r="AD96" i="1"/>
  <c r="AC96" i="1"/>
  <c r="AD95" i="1"/>
  <c r="AC95" i="1"/>
  <c r="AD94" i="1"/>
  <c r="AC94" i="1"/>
  <c r="AD93" i="1"/>
  <c r="AC93" i="1"/>
  <c r="AD92" i="1"/>
  <c r="AC92" i="1"/>
  <c r="AD91" i="1"/>
  <c r="AC91" i="1"/>
  <c r="AD90" i="1"/>
  <c r="AC90" i="1"/>
  <c r="AD89" i="1"/>
  <c r="AC89" i="1"/>
  <c r="AD88" i="1"/>
  <c r="AC88" i="1"/>
  <c r="AD87" i="1"/>
  <c r="AC87" i="1"/>
  <c r="AD86" i="1"/>
  <c r="AC86" i="1"/>
  <c r="AD85" i="1"/>
  <c r="AC85" i="1"/>
  <c r="AD84" i="1"/>
  <c r="AC84" i="1"/>
  <c r="AD83" i="1"/>
  <c r="AC83" i="1"/>
  <c r="AD82" i="1"/>
  <c r="AC82" i="1"/>
  <c r="AD81" i="1"/>
  <c r="AC81" i="1"/>
  <c r="AD80" i="1"/>
  <c r="AC80" i="1"/>
  <c r="AD79" i="1"/>
  <c r="AC79" i="1"/>
  <c r="AD78" i="1"/>
  <c r="AC78" i="1"/>
  <c r="AD77" i="1"/>
  <c r="AC77" i="1"/>
  <c r="AD76" i="1"/>
  <c r="AC76" i="1"/>
  <c r="AD75" i="1"/>
  <c r="AC75" i="1"/>
  <c r="AD74" i="1"/>
  <c r="AC74" i="1"/>
  <c r="AD73" i="1"/>
  <c r="AC73" i="1"/>
  <c r="AD72" i="1"/>
  <c r="AC72" i="1"/>
  <c r="AD71" i="1"/>
  <c r="AC71" i="1"/>
  <c r="AD70" i="1"/>
  <c r="AC70" i="1"/>
  <c r="AD69" i="1"/>
  <c r="AC69" i="1"/>
  <c r="AD68" i="1"/>
  <c r="AC68" i="1"/>
  <c r="AD67" i="1"/>
  <c r="AC67" i="1"/>
  <c r="AD66" i="1"/>
  <c r="AC66" i="1"/>
  <c r="AD65" i="1"/>
  <c r="AC65" i="1"/>
  <c r="AD64" i="1"/>
  <c r="AC64" i="1"/>
  <c r="AD63" i="1"/>
  <c r="AC63" i="1"/>
  <c r="AD62" i="1"/>
  <c r="AC62" i="1"/>
  <c r="AD61" i="1"/>
  <c r="AC61" i="1"/>
  <c r="AD60" i="1"/>
  <c r="AC60" i="1"/>
  <c r="AD59" i="1"/>
  <c r="AC59" i="1"/>
  <c r="AD58" i="1"/>
  <c r="AC58" i="1"/>
  <c r="AD57" i="1"/>
  <c r="AC57" i="1"/>
  <c r="AD56" i="1"/>
  <c r="AC56" i="1"/>
  <c r="AD55" i="1"/>
  <c r="AC55" i="1"/>
  <c r="AD54" i="1"/>
  <c r="AC54" i="1"/>
  <c r="AD53" i="1"/>
  <c r="AC53" i="1"/>
  <c r="AD52" i="1"/>
  <c r="AC52" i="1"/>
  <c r="AD51" i="1"/>
  <c r="AC51" i="1"/>
  <c r="AD50" i="1"/>
  <c r="AC50" i="1"/>
  <c r="AD49" i="1"/>
  <c r="AC49" i="1"/>
  <c r="AD48" i="1"/>
  <c r="AC48" i="1"/>
  <c r="AD47" i="1"/>
  <c r="AC47" i="1"/>
  <c r="AD46" i="1"/>
  <c r="AC46" i="1"/>
  <c r="AD45" i="1"/>
  <c r="AC45" i="1"/>
  <c r="AD44" i="1"/>
  <c r="AC44" i="1"/>
  <c r="AD43" i="1"/>
  <c r="AC43" i="1"/>
  <c r="AD42" i="1"/>
  <c r="AC42" i="1"/>
  <c r="AD41" i="1"/>
  <c r="AC41" i="1"/>
  <c r="AD40" i="1"/>
  <c r="AC40" i="1"/>
  <c r="AD39" i="1"/>
  <c r="AC39" i="1"/>
  <c r="AD38" i="1"/>
  <c r="AC38" i="1"/>
  <c r="AD37" i="1"/>
  <c r="AC37" i="1"/>
  <c r="AD36" i="1"/>
  <c r="AC36" i="1"/>
  <c r="AD35" i="1"/>
  <c r="AC35" i="1"/>
  <c r="AD34" i="1"/>
  <c r="AC34" i="1"/>
  <c r="AD33" i="1"/>
  <c r="AC33" i="1"/>
  <c r="AD32" i="1"/>
  <c r="AC32" i="1"/>
  <c r="AD31" i="1"/>
  <c r="AC31" i="1"/>
  <c r="AD30" i="1"/>
  <c r="AC30" i="1"/>
  <c r="AD29" i="1"/>
  <c r="AC29" i="1"/>
  <c r="AD28" i="1"/>
  <c r="AC28" i="1"/>
  <c r="AD27" i="1"/>
  <c r="AC27" i="1"/>
  <c r="AD26" i="1"/>
  <c r="AC26" i="1"/>
  <c r="AD25" i="1"/>
  <c r="AC25" i="1"/>
  <c r="AD24" i="1"/>
  <c r="AC24" i="1"/>
  <c r="AD23" i="1"/>
  <c r="AC23" i="1"/>
  <c r="AD22" i="1"/>
  <c r="AC22" i="1"/>
  <c r="AD21" i="1"/>
  <c r="AC21" i="1"/>
  <c r="AD20" i="1"/>
  <c r="AC20" i="1"/>
  <c r="AD19" i="1"/>
  <c r="AC19" i="1"/>
  <c r="AD18" i="1"/>
  <c r="AC18" i="1"/>
  <c r="AD17" i="1"/>
  <c r="AC17" i="1"/>
  <c r="AD16" i="1"/>
  <c r="AC16" i="1"/>
  <c r="AD15" i="1"/>
  <c r="AC15" i="1"/>
  <c r="AD14" i="1"/>
  <c r="AC14" i="1"/>
  <c r="AD13" i="1"/>
  <c r="AC13" i="1"/>
  <c r="AD12" i="1"/>
  <c r="AC12" i="1"/>
  <c r="AD11" i="1"/>
  <c r="AC11" i="1"/>
  <c r="AD10" i="1"/>
  <c r="AC10" i="1"/>
  <c r="AD9" i="1"/>
  <c r="AC9" i="1"/>
  <c r="AD8" i="1"/>
  <c r="AC8" i="1"/>
  <c r="AD7" i="1"/>
  <c r="AC7" i="1"/>
  <c r="AD6" i="1"/>
  <c r="AC6" i="1"/>
  <c r="AD5" i="1"/>
  <c r="AC5" i="1"/>
</calcChain>
</file>

<file path=xl/sharedStrings.xml><?xml version="1.0" encoding="utf-8"?>
<sst xmlns="http://schemas.openxmlformats.org/spreadsheetml/2006/main" count="197" uniqueCount="115">
  <si>
    <t>N°</t>
  </si>
  <si>
    <t>COMMUNES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</si>
  <si>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</si>
  <si>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</si>
  <si>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</si>
  <si>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</si>
  <si>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</si>
  <si>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</si>
  <si>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</si>
  <si>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</si>
  <si>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</si>
  <si>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</si>
  <si>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</si>
  <si>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Haut. (mm)</t>
  </si>
  <si>
    <t>N/J</t>
  </si>
  <si>
    <t>BEMBEREKE</t>
  </si>
  <si>
    <t>KALALE</t>
  </si>
  <si>
    <t>N'DALI</t>
  </si>
  <si>
    <t>NIKKI</t>
  </si>
  <si>
    <t>PARAKOU</t>
  </si>
  <si>
    <t>PERERE</t>
  </si>
  <si>
    <t>SINENDE</t>
  </si>
  <si>
    <t>TCHAOUROU</t>
  </si>
  <si>
    <t>BORGOU</t>
  </si>
  <si>
    <t>BANIKOARA</t>
  </si>
  <si>
    <t>GOGOUNOU</t>
  </si>
  <si>
    <t>KANDI</t>
  </si>
  <si>
    <t>KARIMAMA</t>
  </si>
  <si>
    <t>MALANVILLE</t>
  </si>
  <si>
    <t>SEGBANA</t>
  </si>
  <si>
    <t>ALIBORI</t>
  </si>
  <si>
    <t>BORGOU-ALIBORI</t>
  </si>
  <si>
    <t>BOUKOUMBE</t>
  </si>
  <si>
    <t>COBLY</t>
  </si>
  <si>
    <t>KEROU</t>
  </si>
  <si>
    <t>KOUANDE</t>
  </si>
  <si>
    <t>MATERI</t>
  </si>
  <si>
    <t>NATITINGOU</t>
  </si>
  <si>
    <t>PEHUNCO</t>
  </si>
  <si>
    <t>TANGUIETA</t>
  </si>
  <si>
    <t>TOUCOUNTOUNA</t>
  </si>
  <si>
    <t>ATACORA</t>
  </si>
  <si>
    <t>BASSILA</t>
  </si>
  <si>
    <t>COPARGO</t>
  </si>
  <si>
    <t>DJOUGOU</t>
  </si>
  <si>
    <t>OUAKE</t>
  </si>
  <si>
    <t>DONGA</t>
  </si>
  <si>
    <t>ATACORA-DONGA</t>
  </si>
  <si>
    <t>ABOMEY</t>
  </si>
  <si>
    <t>AGBANGNIZOUN</t>
  </si>
  <si>
    <t>BOHICON</t>
  </si>
  <si>
    <t>COVE</t>
  </si>
  <si>
    <t>DJIDJA</t>
  </si>
  <si>
    <t>OUINHI</t>
  </si>
  <si>
    <t>ZAGNANADO</t>
  </si>
  <si>
    <t>ZA-KPOTA</t>
  </si>
  <si>
    <t>ZOGBODOMEY</t>
  </si>
  <si>
    <t>ZOU</t>
  </si>
  <si>
    <t>BANTE</t>
  </si>
  <si>
    <t>DASSA-ZOUME</t>
  </si>
  <si>
    <t>GLAZOUE</t>
  </si>
  <si>
    <t>OUESSE</t>
  </si>
  <si>
    <t>SAVALOU</t>
  </si>
  <si>
    <t>SAVE</t>
  </si>
  <si>
    <t>COLLINES</t>
  </si>
  <si>
    <t>ZOU-COLLINES</t>
  </si>
  <si>
    <t>ATHIEME</t>
  </si>
  <si>
    <t>BOPA</t>
  </si>
  <si>
    <t>COME</t>
  </si>
  <si>
    <t>GRAND-POPO</t>
  </si>
  <si>
    <t>HOUEYOGBE</t>
  </si>
  <si>
    <t xml:space="preserve">LOKOSSA </t>
  </si>
  <si>
    <t>MONO</t>
  </si>
  <si>
    <t>APLAHOUE</t>
  </si>
  <si>
    <t>DJAKOTOMEY</t>
  </si>
  <si>
    <t>DOGBO</t>
  </si>
  <si>
    <t>KLOUEKANME</t>
  </si>
  <si>
    <t>LALO</t>
  </si>
  <si>
    <t>TOVIKLIN</t>
  </si>
  <si>
    <t>COUFFO</t>
  </si>
  <si>
    <t>MONO-COUFFO</t>
  </si>
  <si>
    <t>ADJARRA</t>
  </si>
  <si>
    <t>ADJOHOUN</t>
  </si>
  <si>
    <t>AGUEGUES</t>
  </si>
  <si>
    <t>AKPRO-MISSERETE</t>
  </si>
  <si>
    <t>AVRANKOU</t>
  </si>
  <si>
    <t>BONOU</t>
  </si>
  <si>
    <t>DANGBO</t>
  </si>
  <si>
    <t>PORTO-NOVO</t>
  </si>
  <si>
    <t>SEME-PODJI</t>
  </si>
  <si>
    <t>OUEME</t>
  </si>
  <si>
    <t>ADJA-OUERE</t>
  </si>
  <si>
    <t>IFANGNI</t>
  </si>
  <si>
    <t>KETOU</t>
  </si>
  <si>
    <t>POBE</t>
  </si>
  <si>
    <t>SAKETE</t>
  </si>
  <si>
    <t>PLATEAU</t>
  </si>
  <si>
    <t>OUEME-PLATEAU</t>
  </si>
  <si>
    <t>ABOMEY-CALAVI</t>
  </si>
  <si>
    <t>ALLADA</t>
  </si>
  <si>
    <t>KPOMASSE</t>
  </si>
  <si>
    <t>OUIDAH</t>
  </si>
  <si>
    <t>SO-AVA</t>
  </si>
  <si>
    <t>TOFFO</t>
  </si>
  <si>
    <t>TORI-BOSSITO</t>
  </si>
  <si>
    <t>ZE</t>
  </si>
  <si>
    <t>ATLANTIQUE</t>
  </si>
  <si>
    <t>COTONOU</t>
  </si>
  <si>
    <t>LITTORAL</t>
  </si>
  <si>
    <t>ATLANTIQUE-LITTORAL</t>
  </si>
  <si>
    <t>BENIN</t>
  </si>
  <si>
    <t>Cumul au 10 Novembre 2023</t>
  </si>
  <si>
    <t>Cumul au 10 Novembre 2022</t>
  </si>
  <si>
    <t>ECART(2023-2022)</t>
  </si>
  <si>
    <t>DEPARTEMENTS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</si>
</sst>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 Narrow"/>
      <family val="2"/>
    </font>
    <font>
      <b/>
      <sz val="9"/>
      <color theme="1"/>
      <name val="Courier New"/>
      <family val="3"/>
    </font>
    <font>
      <sz val="10"/>
      <name val="Arial"/>
      <family val="2"/>
    </font>
    <font>
      <sz val="8"/>
      <name val="Arial Narrow"/>
      <family val="2"/>
    </font>
    <font>
      <b/>
      <sz val="16"/>
      <color theme="1"/>
      <name val="Courier New"/>
      <family val="3"/>
    </font>
    <font>
      <b/>
      <sz val="8"/>
      <name val="Arial Narrow"/>
      <family val="2"/>
    </font>
    <font>
      <b/>
      <sz val="9"/>
      <color rgb="FF000000"/>
      <name val="Courier New"/>
      <family val="3"/>
    </font>
    <font>
      <sz val="9"/>
      <color theme="1"/>
      <name val="Courier New"/>
      <family val="3"/>
    </font>
    <font>
      <b/>
      <sz val="14"/>
      <color theme="1"/>
      <name val="Courier New"/>
      <family val="3"/>
    </font>
    <font>
      <b/>
      <sz val="8"/>
      <color rgb="FF000000"/>
      <name val="Arial Narrow"/>
      <family val="2"/>
    </font>
    <font>
      <b/>
      <sz val="8"/>
      <color rgb="FF00000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41">
    <xf numFmtId="0" fontId="0" fillId="0" borderId="0" xfId="0"/>
    <xf numFmtId="0" fontId="1" fillId="0" borderId="1" xfId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1" fillId="0" borderId="0" xfId="1"/>
    <xf numFmtId="0" fontId="1" fillId="0" borderId="4" xfId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3" fillId="0" borderId="5" xfId="1" applyFont="1" applyBorder="1" applyAlignment="1">
      <alignment vertical="center" wrapText="1"/>
    </xf>
    <xf numFmtId="2" fontId="5" fillId="0" borderId="5" xfId="2" applyNumberFormat="1" applyFont="1" applyBorder="1" applyAlignment="1">
      <alignment horizontal="center" vertical="center"/>
    </xf>
    <xf numFmtId="1" fontId="5" fillId="0" borderId="5" xfId="2" applyNumberFormat="1" applyFont="1" applyBorder="1" applyAlignment="1">
      <alignment horizontal="center" vertical="center"/>
    </xf>
    <xf numFmtId="2" fontId="5" fillId="0" borderId="5" xfId="2" applyNumberFormat="1" applyFont="1" applyBorder="1" applyAlignment="1">
      <alignment horizontal="center"/>
    </xf>
    <xf numFmtId="1" fontId="5" fillId="0" borderId="5" xfId="2" applyNumberFormat="1" applyFont="1" applyBorder="1" applyAlignment="1">
      <alignment horizontal="center"/>
    </xf>
    <xf numFmtId="0" fontId="6" fillId="0" borderId="5" xfId="1" applyFont="1" applyBorder="1" applyAlignment="1">
      <alignment horizontal="center" vertical="center" wrapText="1"/>
    </xf>
    <xf numFmtId="2" fontId="7" fillId="0" borderId="5" xfId="2" applyNumberFormat="1" applyFont="1" applyBorder="1" applyAlignment="1">
      <alignment horizontal="center" vertical="center"/>
    </xf>
    <xf numFmtId="1" fontId="7" fillId="0" borderId="5" xfId="2" applyNumberFormat="1" applyFont="1" applyBorder="1" applyAlignment="1">
      <alignment horizontal="center" vertical="center"/>
    </xf>
    <xf numFmtId="0" fontId="8" fillId="0" borderId="5" xfId="1" applyFont="1" applyBorder="1" applyAlignment="1">
      <alignment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9" fillId="0" borderId="5" xfId="1" applyFont="1" applyBorder="1" applyAlignment="1">
      <alignment vertical="center" wrapText="1"/>
    </xf>
    <xf numFmtId="0" fontId="10" fillId="0" borderId="5" xfId="1" applyFont="1" applyBorder="1" applyAlignment="1">
      <alignment horizontal="center" vertical="center" wrapText="1"/>
    </xf>
    <xf numFmtId="2" fontId="1" fillId="0" borderId="0" xfId="1" applyNumberFormat="1"/>
    <xf numFmtId="1" fontId="1" fillId="0" borderId="0" xfId="1" applyNumberFormat="1"/>
    <xf numFmtId="0" fontId="11" fillId="0" borderId="2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2" fontId="13" fillId="0" borderId="5" xfId="2" applyNumberFormat="1" applyFont="1" applyBorder="1" applyAlignment="1">
      <alignment horizontal="center" vertical="center"/>
    </xf>
    <xf numFmtId="1" fontId="13" fillId="0" borderId="5" xfId="2" applyNumberFormat="1" applyFont="1" applyBorder="1" applyAlignment="1">
      <alignment horizontal="center" vertical="center"/>
    </xf>
    <xf numFmtId="2" fontId="14" fillId="0" borderId="5" xfId="2" applyNumberFormat="1" applyFont="1" applyBorder="1" applyAlignment="1">
      <alignment horizontal="center" vertical="center"/>
    </xf>
    <xf numFmtId="1" fontId="14" fillId="0" borderId="5" xfId="2" applyNumberFormat="1" applyFont="1" applyBorder="1" applyAlignment="1">
      <alignment horizontal="center" vertical="center"/>
    </xf>
    <xf numFmtId="2" fontId="14" fillId="0" borderId="5" xfId="2" applyNumberFormat="1" applyFont="1" applyBorder="1" applyAlignment="1">
      <alignment horizontal="center"/>
    </xf>
    <xf numFmtId="0" fontId="12" fillId="0" borderId="5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/>
    </xf>
    <xf numFmtId="0" fontId="15" fillId="0" borderId="5" xfId="1" applyFont="1" applyBorder="1" applyAlignment="1">
      <alignment vertical="center" wrapText="1"/>
    </xf>
    <xf numFmtId="0" fontId="15" fillId="0" borderId="5" xfId="1" applyFont="1" applyBorder="1" applyAlignment="1">
      <alignment horizontal="center" vertical="center"/>
    </xf>
  </cellXfs>
  <cellStyles count="3">
    <cellStyle name="Normal" xfId="0" builtinId="0"/>
    <cellStyle name="Normal 2" xfId="1" xr:uid="{638DF89F-F59B-45BC-875D-D7CA8949940F}"/>
    <cellStyle name="Normal 2 2" xfId="2" xr:uid="{069C1A05-EA8F-4013-A7C7-8AD3FF3162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60FB6-5B0D-45B4-8FA5-44B6003D5BA4}">
  <dimension ref="A3:AD102"/>
  <sheetViews>
    <sheetView topLeftCell="A2" workbookViewId="0">
      <pane xSplit="2" ySplit="3" topLeftCell="C80" activePane="bottomRight" state="frozen"/>
      <selection activeCell="A2" sqref="A2"/>
      <selection pane="topRight" activeCell="C2" sqref="C2"/>
      <selection pane="bottomLeft" activeCell="A5" sqref="A5"/>
      <selection pane="bottomRight" activeCell="E69" sqref="E69"/>
    </sheetView>
  </sheetViews>
  <sheetFormatPr baseColWidth="10" defaultColWidth="11.44140625" defaultRowHeight="14.4" x14ac:dyDescent="0.3"/>
  <cols>
    <col min="1" max="1" width="4.44140625" style="6" customWidth="1"/>
    <col min="2" max="2" width="26.44140625" style="6" customWidth="1"/>
    <col min="3" max="7" width="5.6640625" style="6" customWidth="1"/>
    <col min="8" max="8" width="5.88671875" style="6" customWidth="1"/>
    <col min="9" max="14" width="5.6640625" style="6" customWidth="1"/>
    <col min="15" max="15" width="6.6640625" style="6" customWidth="1"/>
    <col min="16" max="24" width="5.6640625" style="6" customWidth="1"/>
    <col min="25" max="30" width="7" style="6" customWidth="1"/>
    <col min="31" max="254" width="11.44140625" style="6"/>
    <col min="255" max="255" width="4.44140625" style="6" customWidth="1"/>
    <col min="256" max="256" width="31.88671875" style="6" customWidth="1"/>
    <col min="257" max="261" width="5.6640625" style="6" customWidth="1"/>
    <col min="262" max="262" width="5.88671875" style="6" customWidth="1"/>
    <col min="263" max="268" width="5.6640625" style="6" customWidth="1"/>
    <col min="269" max="269" width="6.6640625" style="6" customWidth="1"/>
    <col min="270" max="280" width="5.6640625" style="6" customWidth="1"/>
    <col min="281" max="282" width="7.109375" style="6" customWidth="1"/>
    <col min="283" max="510" width="11.44140625" style="6"/>
    <col min="511" max="511" width="4.44140625" style="6" customWidth="1"/>
    <col min="512" max="512" width="31.88671875" style="6" customWidth="1"/>
    <col min="513" max="517" width="5.6640625" style="6" customWidth="1"/>
    <col min="518" max="518" width="5.88671875" style="6" customWidth="1"/>
    <col min="519" max="524" width="5.6640625" style="6" customWidth="1"/>
    <col min="525" max="525" width="6.6640625" style="6" customWidth="1"/>
    <col min="526" max="536" width="5.6640625" style="6" customWidth="1"/>
    <col min="537" max="538" width="7.109375" style="6" customWidth="1"/>
    <col min="539" max="766" width="11.44140625" style="6"/>
    <col min="767" max="767" width="4.44140625" style="6" customWidth="1"/>
    <col min="768" max="768" width="31.88671875" style="6" customWidth="1"/>
    <col min="769" max="773" width="5.6640625" style="6" customWidth="1"/>
    <col min="774" max="774" width="5.88671875" style="6" customWidth="1"/>
    <col min="775" max="780" width="5.6640625" style="6" customWidth="1"/>
    <col min="781" max="781" width="6.6640625" style="6" customWidth="1"/>
    <col min="782" max="792" width="5.6640625" style="6" customWidth="1"/>
    <col min="793" max="794" width="7.109375" style="6" customWidth="1"/>
    <col min="795" max="1022" width="11.44140625" style="6"/>
    <col min="1023" max="1023" width="4.44140625" style="6" customWidth="1"/>
    <col min="1024" max="1024" width="31.88671875" style="6" customWidth="1"/>
    <col min="1025" max="1029" width="5.6640625" style="6" customWidth="1"/>
    <col min="1030" max="1030" width="5.88671875" style="6" customWidth="1"/>
    <col min="1031" max="1036" width="5.6640625" style="6" customWidth="1"/>
    <col min="1037" max="1037" width="6.6640625" style="6" customWidth="1"/>
    <col min="1038" max="1048" width="5.6640625" style="6" customWidth="1"/>
    <col min="1049" max="1050" width="7.109375" style="6" customWidth="1"/>
    <col min="1051" max="1278" width="11.44140625" style="6"/>
    <col min="1279" max="1279" width="4.44140625" style="6" customWidth="1"/>
    <col min="1280" max="1280" width="31.88671875" style="6" customWidth="1"/>
    <col min="1281" max="1285" width="5.6640625" style="6" customWidth="1"/>
    <col min="1286" max="1286" width="5.88671875" style="6" customWidth="1"/>
    <col min="1287" max="1292" width="5.6640625" style="6" customWidth="1"/>
    <col min="1293" max="1293" width="6.6640625" style="6" customWidth="1"/>
    <col min="1294" max="1304" width="5.6640625" style="6" customWidth="1"/>
    <col min="1305" max="1306" width="7.109375" style="6" customWidth="1"/>
    <col min="1307" max="1534" width="11.44140625" style="6"/>
    <col min="1535" max="1535" width="4.44140625" style="6" customWidth="1"/>
    <col min="1536" max="1536" width="31.88671875" style="6" customWidth="1"/>
    <col min="1537" max="1541" width="5.6640625" style="6" customWidth="1"/>
    <col min="1542" max="1542" width="5.88671875" style="6" customWidth="1"/>
    <col min="1543" max="1548" width="5.6640625" style="6" customWidth="1"/>
    <col min="1549" max="1549" width="6.6640625" style="6" customWidth="1"/>
    <col min="1550" max="1560" width="5.6640625" style="6" customWidth="1"/>
    <col min="1561" max="1562" width="7.109375" style="6" customWidth="1"/>
    <col min="1563" max="1790" width="11.44140625" style="6"/>
    <col min="1791" max="1791" width="4.44140625" style="6" customWidth="1"/>
    <col min="1792" max="1792" width="31.88671875" style="6" customWidth="1"/>
    <col min="1793" max="1797" width="5.6640625" style="6" customWidth="1"/>
    <col min="1798" max="1798" width="5.88671875" style="6" customWidth="1"/>
    <col min="1799" max="1804" width="5.6640625" style="6" customWidth="1"/>
    <col min="1805" max="1805" width="6.6640625" style="6" customWidth="1"/>
    <col min="1806" max="1816" width="5.6640625" style="6" customWidth="1"/>
    <col min="1817" max="1818" width="7.109375" style="6" customWidth="1"/>
    <col min="1819" max="2046" width="11.44140625" style="6"/>
    <col min="2047" max="2047" width="4.44140625" style="6" customWidth="1"/>
    <col min="2048" max="2048" width="31.88671875" style="6" customWidth="1"/>
    <col min="2049" max="2053" width="5.6640625" style="6" customWidth="1"/>
    <col min="2054" max="2054" width="5.88671875" style="6" customWidth="1"/>
    <col min="2055" max="2060" width="5.6640625" style="6" customWidth="1"/>
    <col min="2061" max="2061" width="6.6640625" style="6" customWidth="1"/>
    <col min="2062" max="2072" width="5.6640625" style="6" customWidth="1"/>
    <col min="2073" max="2074" width="7.109375" style="6" customWidth="1"/>
    <col min="2075" max="2302" width="11.44140625" style="6"/>
    <col min="2303" max="2303" width="4.44140625" style="6" customWidth="1"/>
    <col min="2304" max="2304" width="31.88671875" style="6" customWidth="1"/>
    <col min="2305" max="2309" width="5.6640625" style="6" customWidth="1"/>
    <col min="2310" max="2310" width="5.88671875" style="6" customWidth="1"/>
    <col min="2311" max="2316" width="5.6640625" style="6" customWidth="1"/>
    <col min="2317" max="2317" width="6.6640625" style="6" customWidth="1"/>
    <col min="2318" max="2328" width="5.6640625" style="6" customWidth="1"/>
    <col min="2329" max="2330" width="7.109375" style="6" customWidth="1"/>
    <col min="2331" max="2558" width="11.44140625" style="6"/>
    <col min="2559" max="2559" width="4.44140625" style="6" customWidth="1"/>
    <col min="2560" max="2560" width="31.88671875" style="6" customWidth="1"/>
    <col min="2561" max="2565" width="5.6640625" style="6" customWidth="1"/>
    <col min="2566" max="2566" width="5.88671875" style="6" customWidth="1"/>
    <col min="2567" max="2572" width="5.6640625" style="6" customWidth="1"/>
    <col min="2573" max="2573" width="6.6640625" style="6" customWidth="1"/>
    <col min="2574" max="2584" width="5.6640625" style="6" customWidth="1"/>
    <col min="2585" max="2586" width="7.109375" style="6" customWidth="1"/>
    <col min="2587" max="2814" width="11.44140625" style="6"/>
    <col min="2815" max="2815" width="4.44140625" style="6" customWidth="1"/>
    <col min="2816" max="2816" width="31.88671875" style="6" customWidth="1"/>
    <col min="2817" max="2821" width="5.6640625" style="6" customWidth="1"/>
    <col min="2822" max="2822" width="5.88671875" style="6" customWidth="1"/>
    <col min="2823" max="2828" width="5.6640625" style="6" customWidth="1"/>
    <col min="2829" max="2829" width="6.6640625" style="6" customWidth="1"/>
    <col min="2830" max="2840" width="5.6640625" style="6" customWidth="1"/>
    <col min="2841" max="2842" width="7.109375" style="6" customWidth="1"/>
    <col min="2843" max="3070" width="11.44140625" style="6"/>
    <col min="3071" max="3071" width="4.44140625" style="6" customWidth="1"/>
    <col min="3072" max="3072" width="31.88671875" style="6" customWidth="1"/>
    <col min="3073" max="3077" width="5.6640625" style="6" customWidth="1"/>
    <col min="3078" max="3078" width="5.88671875" style="6" customWidth="1"/>
    <col min="3079" max="3084" width="5.6640625" style="6" customWidth="1"/>
    <col min="3085" max="3085" width="6.6640625" style="6" customWidth="1"/>
    <col min="3086" max="3096" width="5.6640625" style="6" customWidth="1"/>
    <col min="3097" max="3098" width="7.109375" style="6" customWidth="1"/>
    <col min="3099" max="3326" width="11.44140625" style="6"/>
    <col min="3327" max="3327" width="4.44140625" style="6" customWidth="1"/>
    <col min="3328" max="3328" width="31.88671875" style="6" customWidth="1"/>
    <col min="3329" max="3333" width="5.6640625" style="6" customWidth="1"/>
    <col min="3334" max="3334" width="5.88671875" style="6" customWidth="1"/>
    <col min="3335" max="3340" width="5.6640625" style="6" customWidth="1"/>
    <col min="3341" max="3341" width="6.6640625" style="6" customWidth="1"/>
    <col min="3342" max="3352" width="5.6640625" style="6" customWidth="1"/>
    <col min="3353" max="3354" width="7.109375" style="6" customWidth="1"/>
    <col min="3355" max="3582" width="11.44140625" style="6"/>
    <col min="3583" max="3583" width="4.44140625" style="6" customWidth="1"/>
    <col min="3584" max="3584" width="31.88671875" style="6" customWidth="1"/>
    <col min="3585" max="3589" width="5.6640625" style="6" customWidth="1"/>
    <col min="3590" max="3590" width="5.88671875" style="6" customWidth="1"/>
    <col min="3591" max="3596" width="5.6640625" style="6" customWidth="1"/>
    <col min="3597" max="3597" width="6.6640625" style="6" customWidth="1"/>
    <col min="3598" max="3608" width="5.6640625" style="6" customWidth="1"/>
    <col min="3609" max="3610" width="7.109375" style="6" customWidth="1"/>
    <col min="3611" max="3838" width="11.44140625" style="6"/>
    <col min="3839" max="3839" width="4.44140625" style="6" customWidth="1"/>
    <col min="3840" max="3840" width="31.88671875" style="6" customWidth="1"/>
    <col min="3841" max="3845" width="5.6640625" style="6" customWidth="1"/>
    <col min="3846" max="3846" width="5.88671875" style="6" customWidth="1"/>
    <col min="3847" max="3852" width="5.6640625" style="6" customWidth="1"/>
    <col min="3853" max="3853" width="6.6640625" style="6" customWidth="1"/>
    <col min="3854" max="3864" width="5.6640625" style="6" customWidth="1"/>
    <col min="3865" max="3866" width="7.109375" style="6" customWidth="1"/>
    <col min="3867" max="4094" width="11.44140625" style="6"/>
    <col min="4095" max="4095" width="4.44140625" style="6" customWidth="1"/>
    <col min="4096" max="4096" width="31.88671875" style="6" customWidth="1"/>
    <col min="4097" max="4101" width="5.6640625" style="6" customWidth="1"/>
    <col min="4102" max="4102" width="5.88671875" style="6" customWidth="1"/>
    <col min="4103" max="4108" width="5.6640625" style="6" customWidth="1"/>
    <col min="4109" max="4109" width="6.6640625" style="6" customWidth="1"/>
    <col min="4110" max="4120" width="5.6640625" style="6" customWidth="1"/>
    <col min="4121" max="4122" width="7.109375" style="6" customWidth="1"/>
    <col min="4123" max="4350" width="11.44140625" style="6"/>
    <col min="4351" max="4351" width="4.44140625" style="6" customWidth="1"/>
    <col min="4352" max="4352" width="31.88671875" style="6" customWidth="1"/>
    <col min="4353" max="4357" width="5.6640625" style="6" customWidth="1"/>
    <col min="4358" max="4358" width="5.88671875" style="6" customWidth="1"/>
    <col min="4359" max="4364" width="5.6640625" style="6" customWidth="1"/>
    <col min="4365" max="4365" width="6.6640625" style="6" customWidth="1"/>
    <col min="4366" max="4376" width="5.6640625" style="6" customWidth="1"/>
    <col min="4377" max="4378" width="7.109375" style="6" customWidth="1"/>
    <col min="4379" max="4606" width="11.44140625" style="6"/>
    <col min="4607" max="4607" width="4.44140625" style="6" customWidth="1"/>
    <col min="4608" max="4608" width="31.88671875" style="6" customWidth="1"/>
    <col min="4609" max="4613" width="5.6640625" style="6" customWidth="1"/>
    <col min="4614" max="4614" width="5.88671875" style="6" customWidth="1"/>
    <col min="4615" max="4620" width="5.6640625" style="6" customWidth="1"/>
    <col min="4621" max="4621" width="6.6640625" style="6" customWidth="1"/>
    <col min="4622" max="4632" width="5.6640625" style="6" customWidth="1"/>
    <col min="4633" max="4634" width="7.109375" style="6" customWidth="1"/>
    <col min="4635" max="4862" width="11.44140625" style="6"/>
    <col min="4863" max="4863" width="4.44140625" style="6" customWidth="1"/>
    <col min="4864" max="4864" width="31.88671875" style="6" customWidth="1"/>
    <col min="4865" max="4869" width="5.6640625" style="6" customWidth="1"/>
    <col min="4870" max="4870" width="5.88671875" style="6" customWidth="1"/>
    <col min="4871" max="4876" width="5.6640625" style="6" customWidth="1"/>
    <col min="4877" max="4877" width="6.6640625" style="6" customWidth="1"/>
    <col min="4878" max="4888" width="5.6640625" style="6" customWidth="1"/>
    <col min="4889" max="4890" width="7.109375" style="6" customWidth="1"/>
    <col min="4891" max="5118" width="11.44140625" style="6"/>
    <col min="5119" max="5119" width="4.44140625" style="6" customWidth="1"/>
    <col min="5120" max="5120" width="31.88671875" style="6" customWidth="1"/>
    <col min="5121" max="5125" width="5.6640625" style="6" customWidth="1"/>
    <col min="5126" max="5126" width="5.88671875" style="6" customWidth="1"/>
    <col min="5127" max="5132" width="5.6640625" style="6" customWidth="1"/>
    <col min="5133" max="5133" width="6.6640625" style="6" customWidth="1"/>
    <col min="5134" max="5144" width="5.6640625" style="6" customWidth="1"/>
    <col min="5145" max="5146" width="7.109375" style="6" customWidth="1"/>
    <col min="5147" max="5374" width="11.44140625" style="6"/>
    <col min="5375" max="5375" width="4.44140625" style="6" customWidth="1"/>
    <col min="5376" max="5376" width="31.88671875" style="6" customWidth="1"/>
    <col min="5377" max="5381" width="5.6640625" style="6" customWidth="1"/>
    <col min="5382" max="5382" width="5.88671875" style="6" customWidth="1"/>
    <col min="5383" max="5388" width="5.6640625" style="6" customWidth="1"/>
    <col min="5389" max="5389" width="6.6640625" style="6" customWidth="1"/>
    <col min="5390" max="5400" width="5.6640625" style="6" customWidth="1"/>
    <col min="5401" max="5402" width="7.109375" style="6" customWidth="1"/>
    <col min="5403" max="5630" width="11.44140625" style="6"/>
    <col min="5631" max="5631" width="4.44140625" style="6" customWidth="1"/>
    <col min="5632" max="5632" width="31.88671875" style="6" customWidth="1"/>
    <col min="5633" max="5637" width="5.6640625" style="6" customWidth="1"/>
    <col min="5638" max="5638" width="5.88671875" style="6" customWidth="1"/>
    <col min="5639" max="5644" width="5.6640625" style="6" customWidth="1"/>
    <col min="5645" max="5645" width="6.6640625" style="6" customWidth="1"/>
    <col min="5646" max="5656" width="5.6640625" style="6" customWidth="1"/>
    <col min="5657" max="5658" width="7.109375" style="6" customWidth="1"/>
    <col min="5659" max="5886" width="11.44140625" style="6"/>
    <col min="5887" max="5887" width="4.44140625" style="6" customWidth="1"/>
    <col min="5888" max="5888" width="31.88671875" style="6" customWidth="1"/>
    <col min="5889" max="5893" width="5.6640625" style="6" customWidth="1"/>
    <col min="5894" max="5894" width="5.88671875" style="6" customWidth="1"/>
    <col min="5895" max="5900" width="5.6640625" style="6" customWidth="1"/>
    <col min="5901" max="5901" width="6.6640625" style="6" customWidth="1"/>
    <col min="5902" max="5912" width="5.6640625" style="6" customWidth="1"/>
    <col min="5913" max="5914" width="7.109375" style="6" customWidth="1"/>
    <col min="5915" max="6142" width="11.44140625" style="6"/>
    <col min="6143" max="6143" width="4.44140625" style="6" customWidth="1"/>
    <col min="6144" max="6144" width="31.88671875" style="6" customWidth="1"/>
    <col min="6145" max="6149" width="5.6640625" style="6" customWidth="1"/>
    <col min="6150" max="6150" width="5.88671875" style="6" customWidth="1"/>
    <col min="6151" max="6156" width="5.6640625" style="6" customWidth="1"/>
    <col min="6157" max="6157" width="6.6640625" style="6" customWidth="1"/>
    <col min="6158" max="6168" width="5.6640625" style="6" customWidth="1"/>
    <col min="6169" max="6170" width="7.109375" style="6" customWidth="1"/>
    <col min="6171" max="6398" width="11.44140625" style="6"/>
    <col min="6399" max="6399" width="4.44140625" style="6" customWidth="1"/>
    <col min="6400" max="6400" width="31.88671875" style="6" customWidth="1"/>
    <col min="6401" max="6405" width="5.6640625" style="6" customWidth="1"/>
    <col min="6406" max="6406" width="5.88671875" style="6" customWidth="1"/>
    <col min="6407" max="6412" width="5.6640625" style="6" customWidth="1"/>
    <col min="6413" max="6413" width="6.6640625" style="6" customWidth="1"/>
    <col min="6414" max="6424" width="5.6640625" style="6" customWidth="1"/>
    <col min="6425" max="6426" width="7.109375" style="6" customWidth="1"/>
    <col min="6427" max="6654" width="11.44140625" style="6"/>
    <col min="6655" max="6655" width="4.44140625" style="6" customWidth="1"/>
    <col min="6656" max="6656" width="31.88671875" style="6" customWidth="1"/>
    <col min="6657" max="6661" width="5.6640625" style="6" customWidth="1"/>
    <col min="6662" max="6662" width="5.88671875" style="6" customWidth="1"/>
    <col min="6663" max="6668" width="5.6640625" style="6" customWidth="1"/>
    <col min="6669" max="6669" width="6.6640625" style="6" customWidth="1"/>
    <col min="6670" max="6680" width="5.6640625" style="6" customWidth="1"/>
    <col min="6681" max="6682" width="7.109375" style="6" customWidth="1"/>
    <col min="6683" max="6910" width="11.44140625" style="6"/>
    <col min="6911" max="6911" width="4.44140625" style="6" customWidth="1"/>
    <col min="6912" max="6912" width="31.88671875" style="6" customWidth="1"/>
    <col min="6913" max="6917" width="5.6640625" style="6" customWidth="1"/>
    <col min="6918" max="6918" width="5.88671875" style="6" customWidth="1"/>
    <col min="6919" max="6924" width="5.6640625" style="6" customWidth="1"/>
    <col min="6925" max="6925" width="6.6640625" style="6" customWidth="1"/>
    <col min="6926" max="6936" width="5.6640625" style="6" customWidth="1"/>
    <col min="6937" max="6938" width="7.109375" style="6" customWidth="1"/>
    <col min="6939" max="7166" width="11.44140625" style="6"/>
    <col min="7167" max="7167" width="4.44140625" style="6" customWidth="1"/>
    <col min="7168" max="7168" width="31.88671875" style="6" customWidth="1"/>
    <col min="7169" max="7173" width="5.6640625" style="6" customWidth="1"/>
    <col min="7174" max="7174" width="5.88671875" style="6" customWidth="1"/>
    <col min="7175" max="7180" width="5.6640625" style="6" customWidth="1"/>
    <col min="7181" max="7181" width="6.6640625" style="6" customWidth="1"/>
    <col min="7182" max="7192" width="5.6640625" style="6" customWidth="1"/>
    <col min="7193" max="7194" width="7.109375" style="6" customWidth="1"/>
    <col min="7195" max="7422" width="11.44140625" style="6"/>
    <col min="7423" max="7423" width="4.44140625" style="6" customWidth="1"/>
    <col min="7424" max="7424" width="31.88671875" style="6" customWidth="1"/>
    <col min="7425" max="7429" width="5.6640625" style="6" customWidth="1"/>
    <col min="7430" max="7430" width="5.88671875" style="6" customWidth="1"/>
    <col min="7431" max="7436" width="5.6640625" style="6" customWidth="1"/>
    <col min="7437" max="7437" width="6.6640625" style="6" customWidth="1"/>
    <col min="7438" max="7448" width="5.6640625" style="6" customWidth="1"/>
    <col min="7449" max="7450" width="7.109375" style="6" customWidth="1"/>
    <col min="7451" max="7678" width="11.44140625" style="6"/>
    <col min="7679" max="7679" width="4.44140625" style="6" customWidth="1"/>
    <col min="7680" max="7680" width="31.88671875" style="6" customWidth="1"/>
    <col min="7681" max="7685" width="5.6640625" style="6" customWidth="1"/>
    <col min="7686" max="7686" width="5.88671875" style="6" customWidth="1"/>
    <col min="7687" max="7692" width="5.6640625" style="6" customWidth="1"/>
    <col min="7693" max="7693" width="6.6640625" style="6" customWidth="1"/>
    <col min="7694" max="7704" width="5.6640625" style="6" customWidth="1"/>
    <col min="7705" max="7706" width="7.109375" style="6" customWidth="1"/>
    <col min="7707" max="7934" width="11.44140625" style="6"/>
    <col min="7935" max="7935" width="4.44140625" style="6" customWidth="1"/>
    <col min="7936" max="7936" width="31.88671875" style="6" customWidth="1"/>
    <col min="7937" max="7941" width="5.6640625" style="6" customWidth="1"/>
    <col min="7942" max="7942" width="5.88671875" style="6" customWidth="1"/>
    <col min="7943" max="7948" width="5.6640625" style="6" customWidth="1"/>
    <col min="7949" max="7949" width="6.6640625" style="6" customWidth="1"/>
    <col min="7950" max="7960" width="5.6640625" style="6" customWidth="1"/>
    <col min="7961" max="7962" width="7.109375" style="6" customWidth="1"/>
    <col min="7963" max="8190" width="11.44140625" style="6"/>
    <col min="8191" max="8191" width="4.44140625" style="6" customWidth="1"/>
    <col min="8192" max="8192" width="31.88671875" style="6" customWidth="1"/>
    <col min="8193" max="8197" width="5.6640625" style="6" customWidth="1"/>
    <col min="8198" max="8198" width="5.88671875" style="6" customWidth="1"/>
    <col min="8199" max="8204" width="5.6640625" style="6" customWidth="1"/>
    <col min="8205" max="8205" width="6.6640625" style="6" customWidth="1"/>
    <col min="8206" max="8216" width="5.6640625" style="6" customWidth="1"/>
    <col min="8217" max="8218" width="7.109375" style="6" customWidth="1"/>
    <col min="8219" max="8446" width="11.44140625" style="6"/>
    <col min="8447" max="8447" width="4.44140625" style="6" customWidth="1"/>
    <col min="8448" max="8448" width="31.88671875" style="6" customWidth="1"/>
    <col min="8449" max="8453" width="5.6640625" style="6" customWidth="1"/>
    <col min="8454" max="8454" width="5.88671875" style="6" customWidth="1"/>
    <col min="8455" max="8460" width="5.6640625" style="6" customWidth="1"/>
    <col min="8461" max="8461" width="6.6640625" style="6" customWidth="1"/>
    <col min="8462" max="8472" width="5.6640625" style="6" customWidth="1"/>
    <col min="8473" max="8474" width="7.109375" style="6" customWidth="1"/>
    <col min="8475" max="8702" width="11.44140625" style="6"/>
    <col min="8703" max="8703" width="4.44140625" style="6" customWidth="1"/>
    <col min="8704" max="8704" width="31.88671875" style="6" customWidth="1"/>
    <col min="8705" max="8709" width="5.6640625" style="6" customWidth="1"/>
    <col min="8710" max="8710" width="5.88671875" style="6" customWidth="1"/>
    <col min="8711" max="8716" width="5.6640625" style="6" customWidth="1"/>
    <col min="8717" max="8717" width="6.6640625" style="6" customWidth="1"/>
    <col min="8718" max="8728" width="5.6640625" style="6" customWidth="1"/>
    <col min="8729" max="8730" width="7.109375" style="6" customWidth="1"/>
    <col min="8731" max="8958" width="11.44140625" style="6"/>
    <col min="8959" max="8959" width="4.44140625" style="6" customWidth="1"/>
    <col min="8960" max="8960" width="31.88671875" style="6" customWidth="1"/>
    <col min="8961" max="8965" width="5.6640625" style="6" customWidth="1"/>
    <col min="8966" max="8966" width="5.88671875" style="6" customWidth="1"/>
    <col min="8967" max="8972" width="5.6640625" style="6" customWidth="1"/>
    <col min="8973" max="8973" width="6.6640625" style="6" customWidth="1"/>
    <col min="8974" max="8984" width="5.6640625" style="6" customWidth="1"/>
    <col min="8985" max="8986" width="7.109375" style="6" customWidth="1"/>
    <col min="8987" max="9214" width="11.44140625" style="6"/>
    <col min="9215" max="9215" width="4.44140625" style="6" customWidth="1"/>
    <col min="9216" max="9216" width="31.88671875" style="6" customWidth="1"/>
    <col min="9217" max="9221" width="5.6640625" style="6" customWidth="1"/>
    <col min="9222" max="9222" width="5.88671875" style="6" customWidth="1"/>
    <col min="9223" max="9228" width="5.6640625" style="6" customWidth="1"/>
    <col min="9229" max="9229" width="6.6640625" style="6" customWidth="1"/>
    <col min="9230" max="9240" width="5.6640625" style="6" customWidth="1"/>
    <col min="9241" max="9242" width="7.109375" style="6" customWidth="1"/>
    <col min="9243" max="9470" width="11.44140625" style="6"/>
    <col min="9471" max="9471" width="4.44140625" style="6" customWidth="1"/>
    <col min="9472" max="9472" width="31.88671875" style="6" customWidth="1"/>
    <col min="9473" max="9477" width="5.6640625" style="6" customWidth="1"/>
    <col min="9478" max="9478" width="5.88671875" style="6" customWidth="1"/>
    <col min="9479" max="9484" width="5.6640625" style="6" customWidth="1"/>
    <col min="9485" max="9485" width="6.6640625" style="6" customWidth="1"/>
    <col min="9486" max="9496" width="5.6640625" style="6" customWidth="1"/>
    <col min="9497" max="9498" width="7.109375" style="6" customWidth="1"/>
    <col min="9499" max="9726" width="11.44140625" style="6"/>
    <col min="9727" max="9727" width="4.44140625" style="6" customWidth="1"/>
    <col min="9728" max="9728" width="31.88671875" style="6" customWidth="1"/>
    <col min="9729" max="9733" width="5.6640625" style="6" customWidth="1"/>
    <col min="9734" max="9734" width="5.88671875" style="6" customWidth="1"/>
    <col min="9735" max="9740" width="5.6640625" style="6" customWidth="1"/>
    <col min="9741" max="9741" width="6.6640625" style="6" customWidth="1"/>
    <col min="9742" max="9752" width="5.6640625" style="6" customWidth="1"/>
    <col min="9753" max="9754" width="7.109375" style="6" customWidth="1"/>
    <col min="9755" max="9982" width="11.44140625" style="6"/>
    <col min="9983" max="9983" width="4.44140625" style="6" customWidth="1"/>
    <col min="9984" max="9984" width="31.88671875" style="6" customWidth="1"/>
    <col min="9985" max="9989" width="5.6640625" style="6" customWidth="1"/>
    <col min="9990" max="9990" width="5.88671875" style="6" customWidth="1"/>
    <col min="9991" max="9996" width="5.6640625" style="6" customWidth="1"/>
    <col min="9997" max="9997" width="6.6640625" style="6" customWidth="1"/>
    <col min="9998" max="10008" width="5.6640625" style="6" customWidth="1"/>
    <col min="10009" max="10010" width="7.109375" style="6" customWidth="1"/>
    <col min="10011" max="10238" width="11.44140625" style="6"/>
    <col min="10239" max="10239" width="4.44140625" style="6" customWidth="1"/>
    <col min="10240" max="10240" width="31.88671875" style="6" customWidth="1"/>
    <col min="10241" max="10245" width="5.6640625" style="6" customWidth="1"/>
    <col min="10246" max="10246" width="5.88671875" style="6" customWidth="1"/>
    <col min="10247" max="10252" width="5.6640625" style="6" customWidth="1"/>
    <col min="10253" max="10253" width="6.6640625" style="6" customWidth="1"/>
    <col min="10254" max="10264" width="5.6640625" style="6" customWidth="1"/>
    <col min="10265" max="10266" width="7.109375" style="6" customWidth="1"/>
    <col min="10267" max="10494" width="11.44140625" style="6"/>
    <col min="10495" max="10495" width="4.44140625" style="6" customWidth="1"/>
    <col min="10496" max="10496" width="31.88671875" style="6" customWidth="1"/>
    <col min="10497" max="10501" width="5.6640625" style="6" customWidth="1"/>
    <col min="10502" max="10502" width="5.88671875" style="6" customWidth="1"/>
    <col min="10503" max="10508" width="5.6640625" style="6" customWidth="1"/>
    <col min="10509" max="10509" width="6.6640625" style="6" customWidth="1"/>
    <col min="10510" max="10520" width="5.6640625" style="6" customWidth="1"/>
    <col min="10521" max="10522" width="7.109375" style="6" customWidth="1"/>
    <col min="10523" max="10750" width="11.44140625" style="6"/>
    <col min="10751" max="10751" width="4.44140625" style="6" customWidth="1"/>
    <col min="10752" max="10752" width="31.88671875" style="6" customWidth="1"/>
    <col min="10753" max="10757" width="5.6640625" style="6" customWidth="1"/>
    <col min="10758" max="10758" width="5.88671875" style="6" customWidth="1"/>
    <col min="10759" max="10764" width="5.6640625" style="6" customWidth="1"/>
    <col min="10765" max="10765" width="6.6640625" style="6" customWidth="1"/>
    <col min="10766" max="10776" width="5.6640625" style="6" customWidth="1"/>
    <col min="10777" max="10778" width="7.109375" style="6" customWidth="1"/>
    <col min="10779" max="11006" width="11.44140625" style="6"/>
    <col min="11007" max="11007" width="4.44140625" style="6" customWidth="1"/>
    <col min="11008" max="11008" width="31.88671875" style="6" customWidth="1"/>
    <col min="11009" max="11013" width="5.6640625" style="6" customWidth="1"/>
    <col min="11014" max="11014" width="5.88671875" style="6" customWidth="1"/>
    <col min="11015" max="11020" width="5.6640625" style="6" customWidth="1"/>
    <col min="11021" max="11021" width="6.6640625" style="6" customWidth="1"/>
    <col min="11022" max="11032" width="5.6640625" style="6" customWidth="1"/>
    <col min="11033" max="11034" width="7.109375" style="6" customWidth="1"/>
    <col min="11035" max="11262" width="11.44140625" style="6"/>
    <col min="11263" max="11263" width="4.44140625" style="6" customWidth="1"/>
    <col min="11264" max="11264" width="31.88671875" style="6" customWidth="1"/>
    <col min="11265" max="11269" width="5.6640625" style="6" customWidth="1"/>
    <col min="11270" max="11270" width="5.88671875" style="6" customWidth="1"/>
    <col min="11271" max="11276" width="5.6640625" style="6" customWidth="1"/>
    <col min="11277" max="11277" width="6.6640625" style="6" customWidth="1"/>
    <col min="11278" max="11288" width="5.6640625" style="6" customWidth="1"/>
    <col min="11289" max="11290" width="7.109375" style="6" customWidth="1"/>
    <col min="11291" max="11518" width="11.44140625" style="6"/>
    <col min="11519" max="11519" width="4.44140625" style="6" customWidth="1"/>
    <col min="11520" max="11520" width="31.88671875" style="6" customWidth="1"/>
    <col min="11521" max="11525" width="5.6640625" style="6" customWidth="1"/>
    <col min="11526" max="11526" width="5.88671875" style="6" customWidth="1"/>
    <col min="11527" max="11532" width="5.6640625" style="6" customWidth="1"/>
    <col min="11533" max="11533" width="6.6640625" style="6" customWidth="1"/>
    <col min="11534" max="11544" width="5.6640625" style="6" customWidth="1"/>
    <col min="11545" max="11546" width="7.109375" style="6" customWidth="1"/>
    <col min="11547" max="11774" width="11.44140625" style="6"/>
    <col min="11775" max="11775" width="4.44140625" style="6" customWidth="1"/>
    <col min="11776" max="11776" width="31.88671875" style="6" customWidth="1"/>
    <col min="11777" max="11781" width="5.6640625" style="6" customWidth="1"/>
    <col min="11782" max="11782" width="5.88671875" style="6" customWidth="1"/>
    <col min="11783" max="11788" width="5.6640625" style="6" customWidth="1"/>
    <col min="11789" max="11789" width="6.6640625" style="6" customWidth="1"/>
    <col min="11790" max="11800" width="5.6640625" style="6" customWidth="1"/>
    <col min="11801" max="11802" width="7.109375" style="6" customWidth="1"/>
    <col min="11803" max="12030" width="11.44140625" style="6"/>
    <col min="12031" max="12031" width="4.44140625" style="6" customWidth="1"/>
    <col min="12032" max="12032" width="31.88671875" style="6" customWidth="1"/>
    <col min="12033" max="12037" width="5.6640625" style="6" customWidth="1"/>
    <col min="12038" max="12038" width="5.88671875" style="6" customWidth="1"/>
    <col min="12039" max="12044" width="5.6640625" style="6" customWidth="1"/>
    <col min="12045" max="12045" width="6.6640625" style="6" customWidth="1"/>
    <col min="12046" max="12056" width="5.6640625" style="6" customWidth="1"/>
    <col min="12057" max="12058" width="7.109375" style="6" customWidth="1"/>
    <col min="12059" max="12286" width="11.44140625" style="6"/>
    <col min="12287" max="12287" width="4.44140625" style="6" customWidth="1"/>
    <col min="12288" max="12288" width="31.88671875" style="6" customWidth="1"/>
    <col min="12289" max="12293" width="5.6640625" style="6" customWidth="1"/>
    <col min="12294" max="12294" width="5.88671875" style="6" customWidth="1"/>
    <col min="12295" max="12300" width="5.6640625" style="6" customWidth="1"/>
    <col min="12301" max="12301" width="6.6640625" style="6" customWidth="1"/>
    <col min="12302" max="12312" width="5.6640625" style="6" customWidth="1"/>
    <col min="12313" max="12314" width="7.109375" style="6" customWidth="1"/>
    <col min="12315" max="12542" width="11.44140625" style="6"/>
    <col min="12543" max="12543" width="4.44140625" style="6" customWidth="1"/>
    <col min="12544" max="12544" width="31.88671875" style="6" customWidth="1"/>
    <col min="12545" max="12549" width="5.6640625" style="6" customWidth="1"/>
    <col min="12550" max="12550" width="5.88671875" style="6" customWidth="1"/>
    <col min="12551" max="12556" width="5.6640625" style="6" customWidth="1"/>
    <col min="12557" max="12557" width="6.6640625" style="6" customWidth="1"/>
    <col min="12558" max="12568" width="5.6640625" style="6" customWidth="1"/>
    <col min="12569" max="12570" width="7.109375" style="6" customWidth="1"/>
    <col min="12571" max="12798" width="11.44140625" style="6"/>
    <col min="12799" max="12799" width="4.44140625" style="6" customWidth="1"/>
    <col min="12800" max="12800" width="31.88671875" style="6" customWidth="1"/>
    <col min="12801" max="12805" width="5.6640625" style="6" customWidth="1"/>
    <col min="12806" max="12806" width="5.88671875" style="6" customWidth="1"/>
    <col min="12807" max="12812" width="5.6640625" style="6" customWidth="1"/>
    <col min="12813" max="12813" width="6.6640625" style="6" customWidth="1"/>
    <col min="12814" max="12824" width="5.6640625" style="6" customWidth="1"/>
    <col min="12825" max="12826" width="7.109375" style="6" customWidth="1"/>
    <col min="12827" max="13054" width="11.44140625" style="6"/>
    <col min="13055" max="13055" width="4.44140625" style="6" customWidth="1"/>
    <col min="13056" max="13056" width="31.88671875" style="6" customWidth="1"/>
    <col min="13057" max="13061" width="5.6640625" style="6" customWidth="1"/>
    <col min="13062" max="13062" width="5.88671875" style="6" customWidth="1"/>
    <col min="13063" max="13068" width="5.6640625" style="6" customWidth="1"/>
    <col min="13069" max="13069" width="6.6640625" style="6" customWidth="1"/>
    <col min="13070" max="13080" width="5.6640625" style="6" customWidth="1"/>
    <col min="13081" max="13082" width="7.109375" style="6" customWidth="1"/>
    <col min="13083" max="13310" width="11.44140625" style="6"/>
    <col min="13311" max="13311" width="4.44140625" style="6" customWidth="1"/>
    <col min="13312" max="13312" width="31.88671875" style="6" customWidth="1"/>
    <col min="13313" max="13317" width="5.6640625" style="6" customWidth="1"/>
    <col min="13318" max="13318" width="5.88671875" style="6" customWidth="1"/>
    <col min="13319" max="13324" width="5.6640625" style="6" customWidth="1"/>
    <col min="13325" max="13325" width="6.6640625" style="6" customWidth="1"/>
    <col min="13326" max="13336" width="5.6640625" style="6" customWidth="1"/>
    <col min="13337" max="13338" width="7.109375" style="6" customWidth="1"/>
    <col min="13339" max="13566" width="11.44140625" style="6"/>
    <col min="13567" max="13567" width="4.44140625" style="6" customWidth="1"/>
    <col min="13568" max="13568" width="31.88671875" style="6" customWidth="1"/>
    <col min="13569" max="13573" width="5.6640625" style="6" customWidth="1"/>
    <col min="13574" max="13574" width="5.88671875" style="6" customWidth="1"/>
    <col min="13575" max="13580" width="5.6640625" style="6" customWidth="1"/>
    <col min="13581" max="13581" width="6.6640625" style="6" customWidth="1"/>
    <col min="13582" max="13592" width="5.6640625" style="6" customWidth="1"/>
    <col min="13593" max="13594" width="7.109375" style="6" customWidth="1"/>
    <col min="13595" max="13822" width="11.44140625" style="6"/>
    <col min="13823" max="13823" width="4.44140625" style="6" customWidth="1"/>
    <col min="13824" max="13824" width="31.88671875" style="6" customWidth="1"/>
    <col min="13825" max="13829" width="5.6640625" style="6" customWidth="1"/>
    <col min="13830" max="13830" width="5.88671875" style="6" customWidth="1"/>
    <col min="13831" max="13836" width="5.6640625" style="6" customWidth="1"/>
    <col min="13837" max="13837" width="6.6640625" style="6" customWidth="1"/>
    <col min="13838" max="13848" width="5.6640625" style="6" customWidth="1"/>
    <col min="13849" max="13850" width="7.109375" style="6" customWidth="1"/>
    <col min="13851" max="14078" width="11.44140625" style="6"/>
    <col min="14079" max="14079" width="4.44140625" style="6" customWidth="1"/>
    <col min="14080" max="14080" width="31.88671875" style="6" customWidth="1"/>
    <col min="14081" max="14085" width="5.6640625" style="6" customWidth="1"/>
    <col min="14086" max="14086" width="5.88671875" style="6" customWidth="1"/>
    <col min="14087" max="14092" width="5.6640625" style="6" customWidth="1"/>
    <col min="14093" max="14093" width="6.6640625" style="6" customWidth="1"/>
    <col min="14094" max="14104" width="5.6640625" style="6" customWidth="1"/>
    <col min="14105" max="14106" width="7.109375" style="6" customWidth="1"/>
    <col min="14107" max="14334" width="11.44140625" style="6"/>
    <col min="14335" max="14335" width="4.44140625" style="6" customWidth="1"/>
    <col min="14336" max="14336" width="31.88671875" style="6" customWidth="1"/>
    <col min="14337" max="14341" width="5.6640625" style="6" customWidth="1"/>
    <col min="14342" max="14342" width="5.88671875" style="6" customWidth="1"/>
    <col min="14343" max="14348" width="5.6640625" style="6" customWidth="1"/>
    <col min="14349" max="14349" width="6.6640625" style="6" customWidth="1"/>
    <col min="14350" max="14360" width="5.6640625" style="6" customWidth="1"/>
    <col min="14361" max="14362" width="7.109375" style="6" customWidth="1"/>
    <col min="14363" max="14590" width="11.44140625" style="6"/>
    <col min="14591" max="14591" width="4.44140625" style="6" customWidth="1"/>
    <col min="14592" max="14592" width="31.88671875" style="6" customWidth="1"/>
    <col min="14593" max="14597" width="5.6640625" style="6" customWidth="1"/>
    <col min="14598" max="14598" width="5.88671875" style="6" customWidth="1"/>
    <col min="14599" max="14604" width="5.6640625" style="6" customWidth="1"/>
    <col min="14605" max="14605" width="6.6640625" style="6" customWidth="1"/>
    <col min="14606" max="14616" width="5.6640625" style="6" customWidth="1"/>
    <col min="14617" max="14618" width="7.109375" style="6" customWidth="1"/>
    <col min="14619" max="14846" width="11.44140625" style="6"/>
    <col min="14847" max="14847" width="4.44140625" style="6" customWidth="1"/>
    <col min="14848" max="14848" width="31.88671875" style="6" customWidth="1"/>
    <col min="14849" max="14853" width="5.6640625" style="6" customWidth="1"/>
    <col min="14854" max="14854" width="5.88671875" style="6" customWidth="1"/>
    <col min="14855" max="14860" width="5.6640625" style="6" customWidth="1"/>
    <col min="14861" max="14861" width="6.6640625" style="6" customWidth="1"/>
    <col min="14862" max="14872" width="5.6640625" style="6" customWidth="1"/>
    <col min="14873" max="14874" width="7.109375" style="6" customWidth="1"/>
    <col min="14875" max="15102" width="11.44140625" style="6"/>
    <col min="15103" max="15103" width="4.44140625" style="6" customWidth="1"/>
    <col min="15104" max="15104" width="31.88671875" style="6" customWidth="1"/>
    <col min="15105" max="15109" width="5.6640625" style="6" customWidth="1"/>
    <col min="15110" max="15110" width="5.88671875" style="6" customWidth="1"/>
    <col min="15111" max="15116" width="5.6640625" style="6" customWidth="1"/>
    <col min="15117" max="15117" width="6.6640625" style="6" customWidth="1"/>
    <col min="15118" max="15128" width="5.6640625" style="6" customWidth="1"/>
    <col min="15129" max="15130" width="7.109375" style="6" customWidth="1"/>
    <col min="15131" max="15358" width="11.44140625" style="6"/>
    <col min="15359" max="15359" width="4.44140625" style="6" customWidth="1"/>
    <col min="15360" max="15360" width="31.88671875" style="6" customWidth="1"/>
    <col min="15361" max="15365" width="5.6640625" style="6" customWidth="1"/>
    <col min="15366" max="15366" width="5.88671875" style="6" customWidth="1"/>
    <col min="15367" max="15372" width="5.6640625" style="6" customWidth="1"/>
    <col min="15373" max="15373" width="6.6640625" style="6" customWidth="1"/>
    <col min="15374" max="15384" width="5.6640625" style="6" customWidth="1"/>
    <col min="15385" max="15386" width="7.109375" style="6" customWidth="1"/>
    <col min="15387" max="15614" width="11.44140625" style="6"/>
    <col min="15615" max="15615" width="4.44140625" style="6" customWidth="1"/>
    <col min="15616" max="15616" width="31.88671875" style="6" customWidth="1"/>
    <col min="15617" max="15621" width="5.6640625" style="6" customWidth="1"/>
    <col min="15622" max="15622" width="5.88671875" style="6" customWidth="1"/>
    <col min="15623" max="15628" width="5.6640625" style="6" customWidth="1"/>
    <col min="15629" max="15629" width="6.6640625" style="6" customWidth="1"/>
    <col min="15630" max="15640" width="5.6640625" style="6" customWidth="1"/>
    <col min="15641" max="15642" width="7.109375" style="6" customWidth="1"/>
    <col min="15643" max="15870" width="11.44140625" style="6"/>
    <col min="15871" max="15871" width="4.44140625" style="6" customWidth="1"/>
    <col min="15872" max="15872" width="31.88671875" style="6" customWidth="1"/>
    <col min="15873" max="15877" width="5.6640625" style="6" customWidth="1"/>
    <col min="15878" max="15878" width="5.88671875" style="6" customWidth="1"/>
    <col min="15879" max="15884" width="5.6640625" style="6" customWidth="1"/>
    <col min="15885" max="15885" width="6.6640625" style="6" customWidth="1"/>
    <col min="15886" max="15896" width="5.6640625" style="6" customWidth="1"/>
    <col min="15897" max="15898" width="7.109375" style="6" customWidth="1"/>
    <col min="15899" max="16126" width="11.44140625" style="6"/>
    <col min="16127" max="16127" width="4.44140625" style="6" customWidth="1"/>
    <col min="16128" max="16128" width="31.88671875" style="6" customWidth="1"/>
    <col min="16129" max="16133" width="5.6640625" style="6" customWidth="1"/>
    <col min="16134" max="16134" width="5.88671875" style="6" customWidth="1"/>
    <col min="16135" max="16140" width="5.6640625" style="6" customWidth="1"/>
    <col min="16141" max="16141" width="6.6640625" style="6" customWidth="1"/>
    <col min="16142" max="16152" width="5.6640625" style="6" customWidth="1"/>
    <col min="16153" max="16154" width="7.109375" style="6" customWidth="1"/>
    <col min="16155" max="16384" width="11.44140625" style="6"/>
  </cols>
  <sheetData>
    <row r="3" spans="1:30" ht="25.5" customHeight="1" x14ac:dyDescent="0.3">
      <c r="A3" s="1" t="s">
        <v>0</v>
      </c>
      <c r="B3" s="1" t="s">
        <v>1</v>
      </c>
      <c r="C3" s="2" t="s">
        <v>2</v>
      </c>
      <c r="D3" s="3"/>
      <c r="E3" s="4" t="s">
        <v>3</v>
      </c>
      <c r="F3" s="5"/>
      <c r="G3" s="4" t="s">
        <v>4</v>
      </c>
      <c r="H3" s="5"/>
      <c r="I3" s="4" t="s">
        <v>5</v>
      </c>
      <c r="J3" s="5"/>
      <c r="K3" s="4" t="s">
        <v>6</v>
      </c>
      <c r="L3" s="5"/>
      <c r="M3" s="4" t="s">
        <v>7</v>
      </c>
      <c r="N3" s="5"/>
      <c r="O3" s="4" t="s">
        <v>8</v>
      </c>
      <c r="P3" s="5"/>
      <c r="Q3" s="4" t="s">
        <v>9</v>
      </c>
      <c r="R3" s="5"/>
      <c r="S3" s="4" t="s">
        <v>10</v>
      </c>
      <c r="T3" s="5"/>
      <c r="U3" s="4" t="s">
        <v>11</v>
      </c>
      <c r="V3" s="5"/>
      <c r="W3" s="4" t="s">
        <v>12</v>
      </c>
      <c r="X3" s="5"/>
      <c r="Y3" s="4" t="s">
        <v>111</v>
      </c>
      <c r="Z3" s="5"/>
      <c r="AA3" s="4" t="s">
        <v>112</v>
      </c>
      <c r="AB3" s="5"/>
      <c r="AC3" s="26" t="s">
        <v>113</v>
      </c>
      <c r="AD3" s="27"/>
    </row>
    <row r="4" spans="1:30" ht="25.5" customHeight="1" x14ac:dyDescent="0.3">
      <c r="A4" s="7"/>
      <c r="B4" s="7"/>
      <c r="C4" s="8" t="s">
        <v>13</v>
      </c>
      <c r="D4" s="9" t="s">
        <v>14</v>
      </c>
      <c r="E4" s="8" t="s">
        <v>13</v>
      </c>
      <c r="F4" s="9" t="s">
        <v>14</v>
      </c>
      <c r="G4" s="8" t="s">
        <v>13</v>
      </c>
      <c r="H4" s="9" t="s">
        <v>14</v>
      </c>
      <c r="I4" s="8" t="s">
        <v>13</v>
      </c>
      <c r="J4" s="9" t="s">
        <v>14</v>
      </c>
      <c r="K4" s="8" t="s">
        <v>13</v>
      </c>
      <c r="L4" s="9" t="s">
        <v>14</v>
      </c>
      <c r="M4" s="8" t="s">
        <v>13</v>
      </c>
      <c r="N4" s="9" t="s">
        <v>14</v>
      </c>
      <c r="O4" s="8" t="s">
        <v>13</v>
      </c>
      <c r="P4" s="9" t="s">
        <v>14</v>
      </c>
      <c r="Q4" s="8" t="s">
        <v>13</v>
      </c>
      <c r="R4" s="9" t="s">
        <v>14</v>
      </c>
      <c r="S4" s="8" t="s">
        <v>13</v>
      </c>
      <c r="T4" s="9" t="s">
        <v>14</v>
      </c>
      <c r="U4" s="8" t="s">
        <v>13</v>
      </c>
      <c r="V4" s="9" t="s">
        <v>14</v>
      </c>
      <c r="W4" s="8" t="s">
        <v>13</v>
      </c>
      <c r="X4" s="9" t="s">
        <v>14</v>
      </c>
      <c r="Y4" s="8" t="s">
        <v>13</v>
      </c>
      <c r="Z4" s="9" t="s">
        <v>14</v>
      </c>
      <c r="AA4" s="8" t="s">
        <v>13</v>
      </c>
      <c r="AB4" s="9" t="s">
        <v>14</v>
      </c>
      <c r="AC4" s="8" t="s">
        <v>13</v>
      </c>
      <c r="AD4" s="9" t="s">
        <v>14</v>
      </c>
    </row>
    <row r="5" spans="1:30" x14ac:dyDescent="0.3">
      <c r="A5" s="10">
        <v>1</v>
      </c>
      <c r="B5" s="11" t="s">
        <v>15</v>
      </c>
      <c r="C5" s="12">
        <v>0</v>
      </c>
      <c r="D5" s="13">
        <v>0</v>
      </c>
      <c r="E5" s="12">
        <v>0</v>
      </c>
      <c r="F5" s="12">
        <v>0</v>
      </c>
      <c r="G5" s="12">
        <v>0</v>
      </c>
      <c r="H5" s="12">
        <v>0</v>
      </c>
      <c r="I5" s="12">
        <v>77.224999999999994</v>
      </c>
      <c r="J5" s="13">
        <v>4</v>
      </c>
      <c r="K5" s="12">
        <v>82.224999999999994</v>
      </c>
      <c r="L5" s="13">
        <v>5</v>
      </c>
      <c r="M5" s="12">
        <v>240.75</v>
      </c>
      <c r="N5" s="13">
        <v>12</v>
      </c>
      <c r="O5" s="12">
        <v>160.67500000000001</v>
      </c>
      <c r="P5" s="13">
        <v>9</v>
      </c>
      <c r="Q5" s="12">
        <v>362.29999999999995</v>
      </c>
      <c r="R5" s="13">
        <v>15</v>
      </c>
      <c r="S5" s="12">
        <v>221.95</v>
      </c>
      <c r="T5" s="13">
        <v>12</v>
      </c>
      <c r="U5" s="12">
        <v>125.75</v>
      </c>
      <c r="V5" s="13">
        <v>5</v>
      </c>
      <c r="W5" s="12">
        <v>0</v>
      </c>
      <c r="X5" s="13">
        <v>0</v>
      </c>
      <c r="Y5" s="14">
        <v>1270.875</v>
      </c>
      <c r="Z5" s="15">
        <v>62</v>
      </c>
      <c r="AA5" s="12">
        <v>1011.205</v>
      </c>
      <c r="AB5" s="13">
        <v>63</v>
      </c>
      <c r="AC5" s="12">
        <f>+Y5-AA5</f>
        <v>259.66999999999996</v>
      </c>
      <c r="AD5" s="13">
        <f>+Z5-AB5</f>
        <v>-1</v>
      </c>
    </row>
    <row r="6" spans="1:30" x14ac:dyDescent="0.3">
      <c r="A6" s="10">
        <v>2</v>
      </c>
      <c r="B6" s="11" t="s">
        <v>16</v>
      </c>
      <c r="C6" s="12">
        <v>0</v>
      </c>
      <c r="D6" s="13">
        <v>0</v>
      </c>
      <c r="E6" s="12">
        <v>0</v>
      </c>
      <c r="F6" s="12">
        <v>0</v>
      </c>
      <c r="G6" s="12">
        <v>0</v>
      </c>
      <c r="H6" s="12">
        <v>0</v>
      </c>
      <c r="I6" s="12">
        <v>49.15</v>
      </c>
      <c r="J6" s="13">
        <v>4</v>
      </c>
      <c r="K6" s="12">
        <v>55.166666666666671</v>
      </c>
      <c r="L6" s="13">
        <v>5</v>
      </c>
      <c r="M6" s="12">
        <v>212.05</v>
      </c>
      <c r="N6" s="13">
        <v>10</v>
      </c>
      <c r="O6" s="12">
        <v>215.19999999999996</v>
      </c>
      <c r="P6" s="13">
        <v>13</v>
      </c>
      <c r="Q6" s="12">
        <v>276.41666666666669</v>
      </c>
      <c r="R6" s="13">
        <v>13</v>
      </c>
      <c r="S6" s="12">
        <v>195.26666666666665</v>
      </c>
      <c r="T6" s="13">
        <v>13</v>
      </c>
      <c r="U6" s="12">
        <v>141.58333333333331</v>
      </c>
      <c r="V6" s="13">
        <v>5</v>
      </c>
      <c r="W6" s="12">
        <v>0</v>
      </c>
      <c r="X6" s="13">
        <v>0</v>
      </c>
      <c r="Y6" s="14">
        <v>1144.8333333333333</v>
      </c>
      <c r="Z6" s="15">
        <v>63</v>
      </c>
      <c r="AA6" s="12">
        <v>933.32833333333326</v>
      </c>
      <c r="AB6" s="13">
        <v>49</v>
      </c>
      <c r="AC6" s="12">
        <f t="shared" ref="AC6:AD69" si="0">+Y6-AA6</f>
        <v>211.505</v>
      </c>
      <c r="AD6" s="13">
        <f t="shared" si="0"/>
        <v>14</v>
      </c>
    </row>
    <row r="7" spans="1:30" ht="16.5" customHeight="1" x14ac:dyDescent="0.3">
      <c r="A7" s="10">
        <v>3</v>
      </c>
      <c r="B7" s="11" t="s">
        <v>17</v>
      </c>
      <c r="C7" s="12">
        <v>0</v>
      </c>
      <c r="D7" s="13">
        <v>0</v>
      </c>
      <c r="E7" s="12">
        <v>0</v>
      </c>
      <c r="F7" s="12">
        <v>0</v>
      </c>
      <c r="G7" s="12">
        <v>11.75</v>
      </c>
      <c r="H7" s="12">
        <v>2</v>
      </c>
      <c r="I7" s="12">
        <v>64</v>
      </c>
      <c r="J7" s="13">
        <v>5</v>
      </c>
      <c r="K7" s="12">
        <v>74.8</v>
      </c>
      <c r="L7" s="13">
        <v>6</v>
      </c>
      <c r="M7" s="12">
        <v>156.17500000000001</v>
      </c>
      <c r="N7" s="13">
        <v>11</v>
      </c>
      <c r="O7" s="12">
        <v>242.9</v>
      </c>
      <c r="P7" s="13">
        <v>12</v>
      </c>
      <c r="Q7" s="12">
        <v>291.14999999999998</v>
      </c>
      <c r="R7" s="13">
        <v>14</v>
      </c>
      <c r="S7" s="12">
        <v>166.25</v>
      </c>
      <c r="T7" s="13">
        <v>13</v>
      </c>
      <c r="U7" s="12">
        <v>133</v>
      </c>
      <c r="V7" s="13">
        <v>5</v>
      </c>
      <c r="W7" s="12">
        <v>0</v>
      </c>
      <c r="X7" s="13">
        <v>0</v>
      </c>
      <c r="Y7" s="14">
        <v>1140.0250000000001</v>
      </c>
      <c r="Z7" s="15">
        <v>68</v>
      </c>
      <c r="AA7" s="12">
        <v>784.06500000000005</v>
      </c>
      <c r="AB7" s="13">
        <v>53</v>
      </c>
      <c r="AC7" s="12">
        <f t="shared" si="0"/>
        <v>355.96000000000004</v>
      </c>
      <c r="AD7" s="13">
        <f t="shared" si="0"/>
        <v>15</v>
      </c>
    </row>
    <row r="8" spans="1:30" ht="17.25" customHeight="1" x14ac:dyDescent="0.3">
      <c r="A8" s="10">
        <v>4</v>
      </c>
      <c r="B8" s="11" t="s">
        <v>18</v>
      </c>
      <c r="C8" s="12">
        <v>0</v>
      </c>
      <c r="D8" s="13">
        <v>0</v>
      </c>
      <c r="E8" s="12">
        <v>0</v>
      </c>
      <c r="F8" s="12">
        <v>0</v>
      </c>
      <c r="G8" s="12">
        <v>19.599999999999998</v>
      </c>
      <c r="H8" s="12">
        <v>1</v>
      </c>
      <c r="I8" s="12">
        <v>58.266666666666666</v>
      </c>
      <c r="J8" s="13">
        <v>2</v>
      </c>
      <c r="K8" s="12">
        <v>109.56666666666666</v>
      </c>
      <c r="L8" s="13">
        <v>6</v>
      </c>
      <c r="M8" s="12">
        <v>117.19999999999999</v>
      </c>
      <c r="N8" s="13">
        <v>8</v>
      </c>
      <c r="O8" s="12">
        <v>262.0333333333333</v>
      </c>
      <c r="P8" s="13">
        <v>14</v>
      </c>
      <c r="Q8" s="12">
        <v>222.63333333333333</v>
      </c>
      <c r="R8" s="13">
        <v>13</v>
      </c>
      <c r="S8" s="12">
        <v>138.63333333333333</v>
      </c>
      <c r="T8" s="13">
        <v>12</v>
      </c>
      <c r="U8" s="12">
        <v>157.5</v>
      </c>
      <c r="V8" s="13">
        <v>7</v>
      </c>
      <c r="W8" s="12">
        <v>0</v>
      </c>
      <c r="X8" s="13">
        <v>0</v>
      </c>
      <c r="Y8" s="14">
        <v>1085.4333333333334</v>
      </c>
      <c r="Z8" s="15">
        <v>63</v>
      </c>
      <c r="AA8" s="12">
        <v>959.89</v>
      </c>
      <c r="AB8" s="13">
        <v>51</v>
      </c>
      <c r="AC8" s="12">
        <f t="shared" si="0"/>
        <v>125.54333333333341</v>
      </c>
      <c r="AD8" s="13">
        <f t="shared" si="0"/>
        <v>12</v>
      </c>
    </row>
    <row r="9" spans="1:30" ht="17.25" customHeight="1" x14ac:dyDescent="0.3">
      <c r="A9" s="10">
        <v>5</v>
      </c>
      <c r="B9" s="11" t="s">
        <v>19</v>
      </c>
      <c r="C9" s="12">
        <v>0</v>
      </c>
      <c r="D9" s="13">
        <v>0</v>
      </c>
      <c r="E9" s="12">
        <v>6.2</v>
      </c>
      <c r="F9" s="12">
        <v>1</v>
      </c>
      <c r="G9" s="12">
        <v>41.657499999999999</v>
      </c>
      <c r="H9" s="12">
        <v>3</v>
      </c>
      <c r="I9" s="12">
        <v>97.882500000000007</v>
      </c>
      <c r="J9" s="13">
        <v>4</v>
      </c>
      <c r="K9" s="12">
        <v>59.8</v>
      </c>
      <c r="L9" s="13">
        <v>5</v>
      </c>
      <c r="M9" s="12">
        <v>104.65</v>
      </c>
      <c r="N9" s="13">
        <v>9</v>
      </c>
      <c r="O9" s="12">
        <v>163.47499999999999</v>
      </c>
      <c r="P9" s="13">
        <v>11</v>
      </c>
      <c r="Q9" s="12">
        <v>206.07499999999999</v>
      </c>
      <c r="R9" s="13">
        <v>10</v>
      </c>
      <c r="S9" s="12">
        <v>219.16499999999996</v>
      </c>
      <c r="T9" s="13">
        <v>10</v>
      </c>
      <c r="U9" s="12">
        <v>236.42500000000001</v>
      </c>
      <c r="V9" s="13">
        <v>11</v>
      </c>
      <c r="W9" s="12">
        <v>0</v>
      </c>
      <c r="X9" s="13">
        <v>0</v>
      </c>
      <c r="Y9" s="14">
        <v>1135.33</v>
      </c>
      <c r="Z9" s="15">
        <v>64</v>
      </c>
      <c r="AA9" s="12">
        <v>1223.8175000000001</v>
      </c>
      <c r="AB9" s="13">
        <v>59</v>
      </c>
      <c r="AC9" s="12">
        <f t="shared" si="0"/>
        <v>-88.487500000000182</v>
      </c>
      <c r="AD9" s="13">
        <f t="shared" si="0"/>
        <v>5</v>
      </c>
    </row>
    <row r="10" spans="1:30" ht="17.25" customHeight="1" x14ac:dyDescent="0.3">
      <c r="A10" s="10">
        <v>6</v>
      </c>
      <c r="B10" s="11" t="s">
        <v>20</v>
      </c>
      <c r="C10" s="12">
        <v>0</v>
      </c>
      <c r="D10" s="13">
        <v>0</v>
      </c>
      <c r="E10" s="12">
        <v>0</v>
      </c>
      <c r="F10" s="12">
        <v>0</v>
      </c>
      <c r="G10" s="12">
        <v>8.4250000000000007</v>
      </c>
      <c r="H10" s="12">
        <v>1</v>
      </c>
      <c r="I10" s="12">
        <v>52.074999999999996</v>
      </c>
      <c r="J10" s="13">
        <v>3</v>
      </c>
      <c r="K10" s="12">
        <v>97.55</v>
      </c>
      <c r="L10" s="13">
        <v>6</v>
      </c>
      <c r="M10" s="12">
        <v>177.1</v>
      </c>
      <c r="N10" s="13">
        <v>9</v>
      </c>
      <c r="O10" s="12">
        <v>325.60000000000002</v>
      </c>
      <c r="P10" s="13">
        <v>13</v>
      </c>
      <c r="Q10" s="12">
        <v>357.77500000000003</v>
      </c>
      <c r="R10" s="13">
        <v>13</v>
      </c>
      <c r="S10" s="12">
        <v>258.39999999999998</v>
      </c>
      <c r="T10" s="13">
        <v>11</v>
      </c>
      <c r="U10" s="12">
        <v>117.25</v>
      </c>
      <c r="V10" s="13">
        <v>6</v>
      </c>
      <c r="W10" s="12">
        <v>0</v>
      </c>
      <c r="X10" s="13">
        <v>0</v>
      </c>
      <c r="Y10" s="14">
        <v>1394.1750000000002</v>
      </c>
      <c r="Z10" s="15">
        <v>62</v>
      </c>
      <c r="AA10" s="12">
        <v>1221.05</v>
      </c>
      <c r="AB10" s="13">
        <v>58</v>
      </c>
      <c r="AC10" s="12">
        <f t="shared" si="0"/>
        <v>173.12500000000023</v>
      </c>
      <c r="AD10" s="13">
        <f t="shared" si="0"/>
        <v>4</v>
      </c>
    </row>
    <row r="11" spans="1:30" ht="17.25" customHeight="1" x14ac:dyDescent="0.3">
      <c r="A11" s="10">
        <v>7</v>
      </c>
      <c r="B11" s="11" t="s">
        <v>21</v>
      </c>
      <c r="C11" s="12">
        <v>0</v>
      </c>
      <c r="D11" s="13">
        <v>0</v>
      </c>
      <c r="E11" s="12">
        <v>0</v>
      </c>
      <c r="F11" s="12">
        <v>0</v>
      </c>
      <c r="G11" s="12">
        <v>0</v>
      </c>
      <c r="H11" s="12">
        <v>0</v>
      </c>
      <c r="I11" s="12">
        <v>119.9</v>
      </c>
      <c r="J11" s="13">
        <v>4</v>
      </c>
      <c r="K11" s="12">
        <v>93.5</v>
      </c>
      <c r="L11" s="13">
        <v>4</v>
      </c>
      <c r="M11" s="12">
        <v>222.6</v>
      </c>
      <c r="N11" s="13">
        <v>9</v>
      </c>
      <c r="O11" s="12">
        <v>232.65</v>
      </c>
      <c r="P11" s="13">
        <v>8</v>
      </c>
      <c r="Q11" s="12">
        <v>314.95</v>
      </c>
      <c r="R11" s="13">
        <v>15</v>
      </c>
      <c r="S11" s="12">
        <v>218.125</v>
      </c>
      <c r="T11" s="13">
        <v>9</v>
      </c>
      <c r="U11" s="12">
        <v>178.625</v>
      </c>
      <c r="V11" s="13">
        <v>5</v>
      </c>
      <c r="W11" s="12">
        <v>0</v>
      </c>
      <c r="X11" s="13">
        <v>0</v>
      </c>
      <c r="Y11" s="14">
        <v>1380.35</v>
      </c>
      <c r="Z11" s="15">
        <v>54</v>
      </c>
      <c r="AA11" s="12">
        <v>1372.5</v>
      </c>
      <c r="AB11" s="13">
        <v>48</v>
      </c>
      <c r="AC11" s="12">
        <f t="shared" si="0"/>
        <v>7.8499999999999091</v>
      </c>
      <c r="AD11" s="13">
        <f t="shared" si="0"/>
        <v>6</v>
      </c>
    </row>
    <row r="12" spans="1:30" ht="19.5" customHeight="1" x14ac:dyDescent="0.3">
      <c r="A12" s="10">
        <v>8</v>
      </c>
      <c r="B12" s="11" t="s">
        <v>22</v>
      </c>
      <c r="C12" s="12">
        <v>9.8249999999999993</v>
      </c>
      <c r="D12" s="13">
        <v>1</v>
      </c>
      <c r="E12" s="12">
        <v>0</v>
      </c>
      <c r="F12" s="12">
        <v>0</v>
      </c>
      <c r="G12" s="12">
        <v>17.075000000000003</v>
      </c>
      <c r="H12" s="12">
        <v>3</v>
      </c>
      <c r="I12" s="12">
        <v>156.73500000000001</v>
      </c>
      <c r="J12" s="13">
        <v>8</v>
      </c>
      <c r="K12" s="12">
        <v>147.77500000000001</v>
      </c>
      <c r="L12" s="13">
        <v>7</v>
      </c>
      <c r="M12" s="12">
        <v>177.92500000000001</v>
      </c>
      <c r="N12" s="13">
        <v>10</v>
      </c>
      <c r="O12" s="12">
        <v>234.05</v>
      </c>
      <c r="P12" s="13">
        <v>11</v>
      </c>
      <c r="Q12" s="12">
        <v>185.32499999999999</v>
      </c>
      <c r="R12" s="13">
        <v>12</v>
      </c>
      <c r="S12" s="12">
        <v>200.625</v>
      </c>
      <c r="T12" s="13">
        <v>12</v>
      </c>
      <c r="U12" s="12">
        <v>208.75</v>
      </c>
      <c r="V12" s="13">
        <v>7</v>
      </c>
      <c r="W12" s="12">
        <v>0</v>
      </c>
      <c r="X12" s="13">
        <v>0</v>
      </c>
      <c r="Y12" s="14">
        <v>1338.085</v>
      </c>
      <c r="Z12" s="15">
        <v>71</v>
      </c>
      <c r="AA12" s="12">
        <v>1336.94</v>
      </c>
      <c r="AB12" s="13">
        <v>67</v>
      </c>
      <c r="AC12" s="12">
        <f t="shared" si="0"/>
        <v>1.1449999999999818</v>
      </c>
      <c r="AD12" s="13">
        <f t="shared" si="0"/>
        <v>4</v>
      </c>
    </row>
    <row r="13" spans="1:30" ht="19.5" customHeight="1" x14ac:dyDescent="0.3">
      <c r="A13" s="16" t="s">
        <v>23</v>
      </c>
      <c r="B13" s="16"/>
      <c r="C13" s="17">
        <v>1.2281249999999999</v>
      </c>
      <c r="D13" s="17">
        <v>1</v>
      </c>
      <c r="E13" s="17">
        <v>0.77500000000000002</v>
      </c>
      <c r="F13" s="17">
        <v>1</v>
      </c>
      <c r="G13" s="17">
        <v>11.7009375</v>
      </c>
      <c r="H13" s="17">
        <v>3</v>
      </c>
      <c r="I13" s="17">
        <v>82.161562500000002</v>
      </c>
      <c r="J13" s="17">
        <v>5</v>
      </c>
      <c r="K13" s="17">
        <v>86.915625000000006</v>
      </c>
      <c r="L13" s="17">
        <v>7</v>
      </c>
      <c r="M13" s="17">
        <v>178.99375000000001</v>
      </c>
      <c r="N13" s="17">
        <v>11</v>
      </c>
      <c r="O13" s="17">
        <v>226.921875</v>
      </c>
      <c r="P13" s="18">
        <v>12</v>
      </c>
      <c r="Q13" s="17">
        <v>277.00624999999997</v>
      </c>
      <c r="R13" s="17">
        <v>13</v>
      </c>
      <c r="S13" s="17">
        <v>202.98624999999998</v>
      </c>
      <c r="T13" s="17">
        <v>12</v>
      </c>
      <c r="U13" s="17">
        <v>160.85</v>
      </c>
      <c r="V13" s="17">
        <v>7</v>
      </c>
      <c r="W13" s="17">
        <v>0</v>
      </c>
      <c r="X13" s="17">
        <v>0</v>
      </c>
      <c r="Y13" s="17">
        <v>1229.5393749999998</v>
      </c>
      <c r="Z13" s="17">
        <v>72</v>
      </c>
      <c r="AA13" s="17">
        <v>1050.1175862068965</v>
      </c>
      <c r="AB13" s="18">
        <v>58</v>
      </c>
      <c r="AC13" s="17">
        <f t="shared" si="0"/>
        <v>179.42178879310336</v>
      </c>
      <c r="AD13" s="18">
        <f t="shared" si="0"/>
        <v>14</v>
      </c>
    </row>
    <row r="14" spans="1:30" ht="19.5" customHeight="1" x14ac:dyDescent="0.3">
      <c r="A14" s="10">
        <v>9</v>
      </c>
      <c r="B14" s="11" t="s">
        <v>24</v>
      </c>
      <c r="C14" s="12">
        <v>0</v>
      </c>
      <c r="D14" s="13">
        <v>0</v>
      </c>
      <c r="E14" s="12">
        <v>0</v>
      </c>
      <c r="F14" s="12">
        <v>0</v>
      </c>
      <c r="G14" s="12">
        <v>4.166666666666667</v>
      </c>
      <c r="H14" s="12">
        <v>1</v>
      </c>
      <c r="I14" s="12">
        <v>4.833333333333333</v>
      </c>
      <c r="J14" s="13">
        <v>1</v>
      </c>
      <c r="K14" s="12">
        <v>11.23076923076923</v>
      </c>
      <c r="L14" s="13">
        <v>2</v>
      </c>
      <c r="M14" s="12">
        <v>96.935897435897459</v>
      </c>
      <c r="N14" s="13">
        <v>7</v>
      </c>
      <c r="O14" s="12">
        <v>184.73461538461538</v>
      </c>
      <c r="P14" s="13">
        <v>12</v>
      </c>
      <c r="Q14" s="12">
        <v>281.60384615384618</v>
      </c>
      <c r="R14" s="13">
        <v>17</v>
      </c>
      <c r="S14" s="12">
        <v>157.45384615384614</v>
      </c>
      <c r="T14" s="13">
        <v>12</v>
      </c>
      <c r="U14" s="12">
        <v>47.57692307692308</v>
      </c>
      <c r="V14" s="13">
        <v>4</v>
      </c>
      <c r="W14" s="12">
        <v>0</v>
      </c>
      <c r="X14" s="13">
        <v>0</v>
      </c>
      <c r="Y14" s="14">
        <v>788.53589743589748</v>
      </c>
      <c r="Z14" s="15">
        <v>56</v>
      </c>
      <c r="AA14" s="12">
        <v>844.7166666666667</v>
      </c>
      <c r="AB14" s="13">
        <v>45</v>
      </c>
      <c r="AC14" s="12">
        <f t="shared" si="0"/>
        <v>-56.180769230769215</v>
      </c>
      <c r="AD14" s="13">
        <f t="shared" si="0"/>
        <v>11</v>
      </c>
    </row>
    <row r="15" spans="1:30" ht="19.5" customHeight="1" x14ac:dyDescent="0.3">
      <c r="A15" s="10">
        <v>10</v>
      </c>
      <c r="B15" s="11" t="s">
        <v>25</v>
      </c>
      <c r="C15" s="12">
        <v>0</v>
      </c>
      <c r="D15" s="13">
        <v>0</v>
      </c>
      <c r="E15" s="12">
        <v>0</v>
      </c>
      <c r="F15" s="12">
        <v>0</v>
      </c>
      <c r="G15" s="12">
        <v>4</v>
      </c>
      <c r="H15" s="12">
        <v>1</v>
      </c>
      <c r="I15" s="12">
        <v>26.891666666666666</v>
      </c>
      <c r="J15" s="13">
        <v>3</v>
      </c>
      <c r="K15" s="12">
        <v>120.375</v>
      </c>
      <c r="L15" s="13">
        <v>4</v>
      </c>
      <c r="M15" s="12">
        <v>191.48</v>
      </c>
      <c r="N15" s="13">
        <v>10</v>
      </c>
      <c r="O15" s="12">
        <v>172.01499999999999</v>
      </c>
      <c r="P15" s="13">
        <v>9</v>
      </c>
      <c r="Q15" s="12">
        <v>305.56499999999994</v>
      </c>
      <c r="R15" s="13">
        <v>16</v>
      </c>
      <c r="S15" s="12">
        <v>217.14500000000001</v>
      </c>
      <c r="T15" s="13">
        <v>15</v>
      </c>
      <c r="U15" s="12">
        <v>24.33</v>
      </c>
      <c r="V15" s="13">
        <v>3</v>
      </c>
      <c r="W15" s="12">
        <v>0</v>
      </c>
      <c r="X15" s="13">
        <v>0</v>
      </c>
      <c r="Y15" s="14">
        <v>1061.8016666666665</v>
      </c>
      <c r="Z15" s="15">
        <v>61</v>
      </c>
      <c r="AA15" s="12">
        <v>1153.5250000000001</v>
      </c>
      <c r="AB15" s="13">
        <v>61</v>
      </c>
      <c r="AC15" s="12">
        <f t="shared" si="0"/>
        <v>-91.723333333333585</v>
      </c>
      <c r="AD15" s="13">
        <f t="shared" si="0"/>
        <v>0</v>
      </c>
    </row>
    <row r="16" spans="1:30" ht="19.5" customHeight="1" x14ac:dyDescent="0.3">
      <c r="A16" s="10">
        <v>11</v>
      </c>
      <c r="B16" s="11" t="s">
        <v>26</v>
      </c>
      <c r="C16" s="12">
        <v>0</v>
      </c>
      <c r="D16" s="13">
        <v>0</v>
      </c>
      <c r="E16" s="12">
        <v>0</v>
      </c>
      <c r="F16" s="12">
        <v>0</v>
      </c>
      <c r="G16" s="12">
        <v>3.1875</v>
      </c>
      <c r="H16" s="12">
        <v>1</v>
      </c>
      <c r="I16" s="12">
        <v>13.375</v>
      </c>
      <c r="J16" s="13">
        <v>3</v>
      </c>
      <c r="K16" s="12">
        <v>49.4375</v>
      </c>
      <c r="L16" s="13">
        <v>2</v>
      </c>
      <c r="M16" s="12">
        <v>101.08295454545456</v>
      </c>
      <c r="N16" s="13">
        <v>6</v>
      </c>
      <c r="O16" s="12">
        <v>123.81</v>
      </c>
      <c r="P16" s="13">
        <v>11</v>
      </c>
      <c r="Q16" s="12">
        <v>375.35833333333329</v>
      </c>
      <c r="R16" s="13">
        <v>19</v>
      </c>
      <c r="S16" s="12">
        <v>199.69583333333333</v>
      </c>
      <c r="T16" s="13">
        <v>15</v>
      </c>
      <c r="U16" s="12">
        <v>38.077272727272728</v>
      </c>
      <c r="V16" s="13">
        <v>4</v>
      </c>
      <c r="W16" s="12">
        <v>0</v>
      </c>
      <c r="X16" s="13">
        <v>0</v>
      </c>
      <c r="Y16" s="14">
        <v>904.02439393939403</v>
      </c>
      <c r="Z16" s="15">
        <v>61</v>
      </c>
      <c r="AA16" s="12">
        <v>948.22857142857151</v>
      </c>
      <c r="AB16" s="13">
        <v>70</v>
      </c>
      <c r="AC16" s="12">
        <f t="shared" si="0"/>
        <v>-44.204177489177482</v>
      </c>
      <c r="AD16" s="13">
        <f t="shared" si="0"/>
        <v>-9</v>
      </c>
    </row>
    <row r="17" spans="1:30" ht="19.5" customHeight="1" x14ac:dyDescent="0.3">
      <c r="A17" s="10">
        <v>12</v>
      </c>
      <c r="B17" s="11" t="s">
        <v>27</v>
      </c>
      <c r="C17" s="12">
        <v>0</v>
      </c>
      <c r="D17" s="13">
        <v>0</v>
      </c>
      <c r="E17" s="12">
        <v>0</v>
      </c>
      <c r="F17" s="12">
        <v>0</v>
      </c>
      <c r="G17" s="12">
        <v>4</v>
      </c>
      <c r="H17" s="12">
        <v>1</v>
      </c>
      <c r="I17" s="12">
        <v>0</v>
      </c>
      <c r="J17" s="13">
        <v>0</v>
      </c>
      <c r="K17" s="12">
        <v>16</v>
      </c>
      <c r="L17" s="13">
        <v>1</v>
      </c>
      <c r="M17" s="12">
        <v>152.56</v>
      </c>
      <c r="N17" s="13">
        <v>6</v>
      </c>
      <c r="O17" s="12">
        <v>62.06</v>
      </c>
      <c r="P17" s="13">
        <v>8</v>
      </c>
      <c r="Q17" s="12">
        <v>249.46</v>
      </c>
      <c r="R17" s="13">
        <v>14</v>
      </c>
      <c r="S17" s="12">
        <v>103.6</v>
      </c>
      <c r="T17" s="13">
        <v>8</v>
      </c>
      <c r="U17" s="12">
        <v>28.64</v>
      </c>
      <c r="V17" s="13">
        <v>3</v>
      </c>
      <c r="W17" s="12">
        <v>0</v>
      </c>
      <c r="X17" s="13">
        <v>0</v>
      </c>
      <c r="Y17" s="14">
        <v>616.32000000000005</v>
      </c>
      <c r="Z17" s="15">
        <v>41</v>
      </c>
      <c r="AA17" s="12">
        <v>935.2</v>
      </c>
      <c r="AB17" s="13">
        <v>54</v>
      </c>
      <c r="AC17" s="12">
        <f t="shared" si="0"/>
        <v>-318.88</v>
      </c>
      <c r="AD17" s="13">
        <f t="shared" si="0"/>
        <v>-13</v>
      </c>
    </row>
    <row r="18" spans="1:30" ht="19.5" customHeight="1" x14ac:dyDescent="0.3">
      <c r="A18" s="10">
        <v>13</v>
      </c>
      <c r="B18" s="11" t="s">
        <v>28</v>
      </c>
      <c r="C18" s="12">
        <v>0</v>
      </c>
      <c r="D18" s="13">
        <v>0</v>
      </c>
      <c r="E18" s="12">
        <v>0</v>
      </c>
      <c r="F18" s="12">
        <v>0</v>
      </c>
      <c r="G18" s="12">
        <v>10.5</v>
      </c>
      <c r="H18" s="12">
        <v>1</v>
      </c>
      <c r="I18" s="12">
        <v>0</v>
      </c>
      <c r="J18" s="13">
        <v>0</v>
      </c>
      <c r="K18" s="12">
        <v>28.625</v>
      </c>
      <c r="L18" s="13">
        <v>3</v>
      </c>
      <c r="M18" s="12">
        <v>149.96666666666667</v>
      </c>
      <c r="N18" s="13">
        <v>7</v>
      </c>
      <c r="O18" s="12">
        <v>136.90666666666667</v>
      </c>
      <c r="P18" s="13">
        <v>12</v>
      </c>
      <c r="Q18" s="12">
        <v>362.41666666666669</v>
      </c>
      <c r="R18" s="13">
        <v>16</v>
      </c>
      <c r="S18" s="12">
        <v>183.94166666666666</v>
      </c>
      <c r="T18" s="13">
        <v>15</v>
      </c>
      <c r="U18" s="12">
        <v>56.933333333333337</v>
      </c>
      <c r="V18" s="13">
        <v>3</v>
      </c>
      <c r="W18" s="12">
        <v>0</v>
      </c>
      <c r="X18" s="13">
        <v>0</v>
      </c>
      <c r="Y18" s="14">
        <v>929.29</v>
      </c>
      <c r="Z18" s="15">
        <v>57</v>
      </c>
      <c r="AA18" s="12">
        <v>1069.825</v>
      </c>
      <c r="AB18" s="13">
        <v>56</v>
      </c>
      <c r="AC18" s="12">
        <f t="shared" si="0"/>
        <v>-140.53500000000008</v>
      </c>
      <c r="AD18" s="13">
        <f t="shared" si="0"/>
        <v>1</v>
      </c>
    </row>
    <row r="19" spans="1:30" ht="19.5" customHeight="1" x14ac:dyDescent="0.3">
      <c r="A19" s="10">
        <v>14</v>
      </c>
      <c r="B19" s="11" t="s">
        <v>29</v>
      </c>
      <c r="C19" s="12">
        <v>0</v>
      </c>
      <c r="D19" s="13">
        <v>0</v>
      </c>
      <c r="E19" s="12">
        <v>0</v>
      </c>
      <c r="F19" s="12">
        <v>0</v>
      </c>
      <c r="G19" s="12">
        <v>7.1666666666666661</v>
      </c>
      <c r="H19" s="12">
        <v>2</v>
      </c>
      <c r="I19" s="12">
        <v>15.466666666666665</v>
      </c>
      <c r="J19" s="13">
        <v>2</v>
      </c>
      <c r="K19" s="12">
        <v>39.6</v>
      </c>
      <c r="L19" s="13">
        <v>5</v>
      </c>
      <c r="M19" s="12">
        <v>135.93424242424243</v>
      </c>
      <c r="N19" s="13">
        <v>9</v>
      </c>
      <c r="O19" s="12">
        <v>244.59090909090912</v>
      </c>
      <c r="P19" s="13">
        <v>13</v>
      </c>
      <c r="Q19" s="12">
        <v>289.18181818181824</v>
      </c>
      <c r="R19" s="13">
        <v>15</v>
      </c>
      <c r="S19" s="12">
        <v>166.73636363636365</v>
      </c>
      <c r="T19" s="13">
        <v>12</v>
      </c>
      <c r="U19" s="12">
        <v>42.090909090909093</v>
      </c>
      <c r="V19" s="13">
        <v>3</v>
      </c>
      <c r="W19" s="12">
        <v>0</v>
      </c>
      <c r="X19" s="13">
        <v>0</v>
      </c>
      <c r="Y19" s="14">
        <v>940.76757575757586</v>
      </c>
      <c r="Z19" s="15">
        <v>61</v>
      </c>
      <c r="AA19" s="12">
        <v>1037.1949999999999</v>
      </c>
      <c r="AB19" s="13">
        <v>46</v>
      </c>
      <c r="AC19" s="12">
        <f t="shared" si="0"/>
        <v>-96.427424242424081</v>
      </c>
      <c r="AD19" s="13">
        <f t="shared" si="0"/>
        <v>15</v>
      </c>
    </row>
    <row r="20" spans="1:30" ht="20.25" customHeight="1" x14ac:dyDescent="0.3">
      <c r="A20" s="16" t="s">
        <v>30</v>
      </c>
      <c r="B20" s="16"/>
      <c r="C20" s="17">
        <v>0</v>
      </c>
      <c r="D20" s="17">
        <v>0</v>
      </c>
      <c r="E20" s="17">
        <v>0</v>
      </c>
      <c r="F20" s="17">
        <v>0</v>
      </c>
      <c r="G20" s="17">
        <v>4.7813852813852815</v>
      </c>
      <c r="H20" s="17">
        <v>2</v>
      </c>
      <c r="I20" s="17">
        <v>9.0361895161290313</v>
      </c>
      <c r="J20" s="17">
        <v>3</v>
      </c>
      <c r="K20" s="17">
        <v>39.103870967741933</v>
      </c>
      <c r="L20" s="17">
        <v>3</v>
      </c>
      <c r="M20" s="17">
        <v>128.46148809523808</v>
      </c>
      <c r="N20" s="17">
        <v>8</v>
      </c>
      <c r="O20" s="17">
        <v>165.43263157894737</v>
      </c>
      <c r="P20" s="18">
        <v>12</v>
      </c>
      <c r="Q20" s="17">
        <v>312.69473684210527</v>
      </c>
      <c r="R20" s="17">
        <v>16</v>
      </c>
      <c r="S20" s="17">
        <v>176.67456140350879</v>
      </c>
      <c r="T20" s="17">
        <v>13</v>
      </c>
      <c r="U20" s="17">
        <v>39.919862155388472</v>
      </c>
      <c r="V20" s="17">
        <v>4</v>
      </c>
      <c r="W20" s="17">
        <v>0</v>
      </c>
      <c r="X20" s="17">
        <v>0</v>
      </c>
      <c r="Y20" s="17">
        <v>876.10472584044419</v>
      </c>
      <c r="Z20" s="17">
        <v>61</v>
      </c>
      <c r="AA20" s="17">
        <v>982.49482581453617</v>
      </c>
      <c r="AB20" s="18">
        <v>63</v>
      </c>
      <c r="AC20" s="17">
        <f t="shared" si="0"/>
        <v>-106.39009997409198</v>
      </c>
      <c r="AD20" s="18">
        <f t="shared" si="0"/>
        <v>-2</v>
      </c>
    </row>
    <row r="21" spans="1:30" ht="20.25" customHeight="1" x14ac:dyDescent="0.3">
      <c r="A21" s="16" t="s">
        <v>31</v>
      </c>
      <c r="B21" s="16"/>
      <c r="C21" s="17">
        <v>0.48518518518518516</v>
      </c>
      <c r="D21" s="17">
        <v>1</v>
      </c>
      <c r="E21" s="17">
        <v>0.30617283950617286</v>
      </c>
      <c r="F21" s="17">
        <v>1</v>
      </c>
      <c r="G21" s="17">
        <v>8.8143396226415085</v>
      </c>
      <c r="H21" s="17">
        <v>3</v>
      </c>
      <c r="I21" s="17">
        <v>47.960163934426234</v>
      </c>
      <c r="J21" s="17">
        <v>3</v>
      </c>
      <c r="K21" s="17">
        <v>60.340833333333336</v>
      </c>
      <c r="L21" s="17">
        <v>5</v>
      </c>
      <c r="M21" s="17">
        <v>152.69975379659456</v>
      </c>
      <c r="N21" s="17">
        <v>9</v>
      </c>
      <c r="O21" s="17">
        <v>189.79168674698792</v>
      </c>
      <c r="P21" s="18">
        <v>11</v>
      </c>
      <c r="Q21" s="17">
        <v>300.2692771084337</v>
      </c>
      <c r="R21" s="17">
        <v>15</v>
      </c>
      <c r="S21" s="17">
        <v>183.64771084337349</v>
      </c>
      <c r="T21" s="17">
        <v>12</v>
      </c>
      <c r="U21" s="17">
        <v>89.413062004114025</v>
      </c>
      <c r="V21" s="17">
        <v>5</v>
      </c>
      <c r="W21" s="17">
        <v>0</v>
      </c>
      <c r="X21" s="17">
        <v>0</v>
      </c>
      <c r="Y21" s="17">
        <v>1033.7281854145961</v>
      </c>
      <c r="Z21" s="17">
        <v>65</v>
      </c>
      <c r="AA21" s="17">
        <v>1047.5480143920963</v>
      </c>
      <c r="AB21" s="18">
        <v>65</v>
      </c>
      <c r="AC21" s="17">
        <f t="shared" si="0"/>
        <v>-13.819828977500265</v>
      </c>
      <c r="AD21" s="18">
        <f t="shared" si="0"/>
        <v>0</v>
      </c>
    </row>
    <row r="22" spans="1:30" x14ac:dyDescent="0.3">
      <c r="A22" s="10">
        <v>15</v>
      </c>
      <c r="B22" s="19" t="s">
        <v>32</v>
      </c>
      <c r="C22" s="12">
        <v>0</v>
      </c>
      <c r="D22" s="13">
        <v>0</v>
      </c>
      <c r="E22" s="12">
        <v>0</v>
      </c>
      <c r="F22" s="12">
        <v>0</v>
      </c>
      <c r="G22" s="12">
        <v>8.8000000000000007</v>
      </c>
      <c r="H22" s="12">
        <v>1</v>
      </c>
      <c r="I22" s="12">
        <v>58.3</v>
      </c>
      <c r="J22" s="13">
        <v>5</v>
      </c>
      <c r="K22" s="12">
        <v>99</v>
      </c>
      <c r="L22" s="13">
        <v>6</v>
      </c>
      <c r="M22" s="12">
        <v>102</v>
      </c>
      <c r="N22" s="13">
        <v>5</v>
      </c>
      <c r="O22" s="12">
        <v>211</v>
      </c>
      <c r="P22" s="13">
        <v>7</v>
      </c>
      <c r="Q22" s="12">
        <v>371</v>
      </c>
      <c r="R22" s="13">
        <v>15</v>
      </c>
      <c r="S22" s="12">
        <v>302</v>
      </c>
      <c r="T22" s="13">
        <v>13</v>
      </c>
      <c r="U22" s="12">
        <v>111</v>
      </c>
      <c r="V22" s="13">
        <v>7</v>
      </c>
      <c r="W22" s="12">
        <v>0</v>
      </c>
      <c r="X22" s="13">
        <v>0</v>
      </c>
      <c r="Y22" s="14">
        <v>1263.0999999999999</v>
      </c>
      <c r="Z22" s="15">
        <v>59</v>
      </c>
      <c r="AA22" s="12">
        <v>1083.5500000000002</v>
      </c>
      <c r="AB22" s="13">
        <v>51</v>
      </c>
      <c r="AC22" s="12">
        <f t="shared" si="0"/>
        <v>179.54999999999973</v>
      </c>
      <c r="AD22" s="13">
        <f t="shared" si="0"/>
        <v>8</v>
      </c>
    </row>
    <row r="23" spans="1:30" x14ac:dyDescent="0.3">
      <c r="A23" s="10">
        <v>16</v>
      </c>
      <c r="B23" s="19" t="s">
        <v>33</v>
      </c>
      <c r="C23" s="12">
        <v>0</v>
      </c>
      <c r="D23" s="13">
        <v>0</v>
      </c>
      <c r="E23" s="12">
        <v>0</v>
      </c>
      <c r="F23" s="12">
        <v>0</v>
      </c>
      <c r="G23" s="12">
        <v>0</v>
      </c>
      <c r="H23" s="12">
        <v>0</v>
      </c>
      <c r="I23" s="12">
        <v>4.5</v>
      </c>
      <c r="J23" s="13">
        <v>0.5</v>
      </c>
      <c r="K23" s="12">
        <v>88</v>
      </c>
      <c r="L23" s="13">
        <v>6</v>
      </c>
      <c r="M23" s="12">
        <v>83.65</v>
      </c>
      <c r="N23" s="13">
        <v>3.5</v>
      </c>
      <c r="O23" s="12">
        <v>140</v>
      </c>
      <c r="P23" s="13">
        <v>9.5</v>
      </c>
      <c r="Q23" s="12">
        <v>350.05</v>
      </c>
      <c r="R23" s="13">
        <v>17</v>
      </c>
      <c r="S23" s="12">
        <v>264.75</v>
      </c>
      <c r="T23" s="13">
        <v>15</v>
      </c>
      <c r="U23" s="12">
        <v>125.8</v>
      </c>
      <c r="V23" s="13">
        <v>9.5</v>
      </c>
      <c r="W23" s="12">
        <v>0</v>
      </c>
      <c r="X23" s="13">
        <v>0</v>
      </c>
      <c r="Y23" s="14">
        <v>1056.75</v>
      </c>
      <c r="Z23" s="15">
        <v>61</v>
      </c>
      <c r="AA23" s="12">
        <v>999.1</v>
      </c>
      <c r="AB23" s="13">
        <v>65.5</v>
      </c>
      <c r="AC23" s="12">
        <f t="shared" si="0"/>
        <v>57.649999999999977</v>
      </c>
      <c r="AD23" s="13">
        <f t="shared" si="0"/>
        <v>-4.5</v>
      </c>
    </row>
    <row r="24" spans="1:30" x14ac:dyDescent="0.3">
      <c r="A24" s="10">
        <v>17</v>
      </c>
      <c r="B24" s="11" t="s">
        <v>34</v>
      </c>
      <c r="C24" s="12">
        <v>0</v>
      </c>
      <c r="D24" s="13">
        <v>0</v>
      </c>
      <c r="E24" s="12">
        <v>0</v>
      </c>
      <c r="F24" s="12">
        <v>0</v>
      </c>
      <c r="G24" s="12">
        <v>22</v>
      </c>
      <c r="H24" s="12">
        <v>1.5</v>
      </c>
      <c r="I24" s="12">
        <v>24.6</v>
      </c>
      <c r="J24" s="13">
        <v>2</v>
      </c>
      <c r="K24" s="12">
        <v>46.550000000000004</v>
      </c>
      <c r="L24" s="13">
        <v>3.5</v>
      </c>
      <c r="M24" s="12">
        <v>163.5</v>
      </c>
      <c r="N24" s="13">
        <v>9.5</v>
      </c>
      <c r="O24" s="12">
        <v>213.67500000000001</v>
      </c>
      <c r="P24" s="13">
        <v>12</v>
      </c>
      <c r="Q24" s="12">
        <v>343.73500000000001</v>
      </c>
      <c r="R24" s="13">
        <v>17.5</v>
      </c>
      <c r="S24" s="12">
        <v>201.72500000000002</v>
      </c>
      <c r="T24" s="13">
        <v>11.5</v>
      </c>
      <c r="U24" s="12">
        <v>54.85</v>
      </c>
      <c r="V24" s="13">
        <v>5.5</v>
      </c>
      <c r="W24" s="12">
        <v>0</v>
      </c>
      <c r="X24" s="13">
        <v>0</v>
      </c>
      <c r="Y24" s="14">
        <v>1070.635</v>
      </c>
      <c r="Z24" s="15">
        <v>63</v>
      </c>
      <c r="AA24" s="12">
        <v>1183.0250000000001</v>
      </c>
      <c r="AB24" s="13">
        <v>70</v>
      </c>
      <c r="AC24" s="12">
        <f t="shared" si="0"/>
        <v>-112.3900000000001</v>
      </c>
      <c r="AD24" s="13">
        <f t="shared" si="0"/>
        <v>-7</v>
      </c>
    </row>
    <row r="25" spans="1:30" x14ac:dyDescent="0.3">
      <c r="A25" s="10">
        <v>18</v>
      </c>
      <c r="B25" s="11" t="s">
        <v>35</v>
      </c>
      <c r="C25" s="12">
        <v>0</v>
      </c>
      <c r="D25" s="13">
        <v>0</v>
      </c>
      <c r="E25" s="12">
        <v>3.9</v>
      </c>
      <c r="F25" s="12">
        <v>1</v>
      </c>
      <c r="G25" s="12">
        <v>4.3</v>
      </c>
      <c r="H25" s="12">
        <v>2</v>
      </c>
      <c r="I25" s="12">
        <v>56.800000000000004</v>
      </c>
      <c r="J25" s="13">
        <v>4</v>
      </c>
      <c r="K25" s="12">
        <v>122.7</v>
      </c>
      <c r="L25" s="13">
        <v>12</v>
      </c>
      <c r="M25" s="12">
        <v>117</v>
      </c>
      <c r="N25" s="13">
        <v>13</v>
      </c>
      <c r="O25" s="12">
        <v>222.3</v>
      </c>
      <c r="P25" s="13">
        <v>14</v>
      </c>
      <c r="Q25" s="12">
        <v>280.70000000000005</v>
      </c>
      <c r="R25" s="13">
        <v>19</v>
      </c>
      <c r="S25" s="12">
        <v>207.6</v>
      </c>
      <c r="T25" s="13">
        <v>17</v>
      </c>
      <c r="U25" s="12">
        <v>65.2</v>
      </c>
      <c r="V25" s="13">
        <v>6</v>
      </c>
      <c r="W25" s="12">
        <v>0</v>
      </c>
      <c r="X25" s="13">
        <v>0</v>
      </c>
      <c r="Y25" s="14">
        <v>1080.5</v>
      </c>
      <c r="Z25" s="15">
        <v>88</v>
      </c>
      <c r="AA25" s="12">
        <v>1118.8999999999999</v>
      </c>
      <c r="AB25" s="13">
        <v>82</v>
      </c>
      <c r="AC25" s="12">
        <f t="shared" si="0"/>
        <v>-38.399999999999864</v>
      </c>
      <c r="AD25" s="13">
        <f t="shared" si="0"/>
        <v>6</v>
      </c>
    </row>
    <row r="26" spans="1:30" x14ac:dyDescent="0.3">
      <c r="A26" s="10">
        <v>19</v>
      </c>
      <c r="B26" s="11" t="s">
        <v>36</v>
      </c>
      <c r="C26" s="12">
        <v>0</v>
      </c>
      <c r="D26" s="13">
        <v>0</v>
      </c>
      <c r="E26" s="12">
        <v>0</v>
      </c>
      <c r="F26" s="12">
        <v>0</v>
      </c>
      <c r="G26" s="12">
        <v>12.5</v>
      </c>
      <c r="H26" s="12">
        <v>0.75</v>
      </c>
      <c r="I26" s="12">
        <v>31.6</v>
      </c>
      <c r="J26" s="13">
        <v>3</v>
      </c>
      <c r="K26" s="12">
        <v>65.849999999999994</v>
      </c>
      <c r="L26" s="13">
        <v>5</v>
      </c>
      <c r="M26" s="12">
        <v>87.175000000000011</v>
      </c>
      <c r="N26" s="13">
        <v>5.25</v>
      </c>
      <c r="O26" s="12">
        <v>167.35</v>
      </c>
      <c r="P26" s="13">
        <v>7.5</v>
      </c>
      <c r="Q26" s="12">
        <v>361.45</v>
      </c>
      <c r="R26" s="13">
        <v>16.75</v>
      </c>
      <c r="S26" s="12">
        <v>214.625</v>
      </c>
      <c r="T26" s="13">
        <v>13.25</v>
      </c>
      <c r="U26" s="12">
        <v>71.599999999999994</v>
      </c>
      <c r="V26" s="13">
        <v>6.5</v>
      </c>
      <c r="W26" s="12">
        <v>0</v>
      </c>
      <c r="X26" s="13">
        <v>0</v>
      </c>
      <c r="Y26" s="14">
        <v>1012.15</v>
      </c>
      <c r="Z26" s="15">
        <v>58</v>
      </c>
      <c r="AA26" s="12">
        <v>993.3599999999999</v>
      </c>
      <c r="AB26" s="13">
        <v>50</v>
      </c>
      <c r="AC26" s="12">
        <f t="shared" si="0"/>
        <v>18.790000000000077</v>
      </c>
      <c r="AD26" s="13">
        <f t="shared" si="0"/>
        <v>8</v>
      </c>
    </row>
    <row r="27" spans="1:30" x14ac:dyDescent="0.3">
      <c r="A27" s="10">
        <v>20</v>
      </c>
      <c r="B27" s="11" t="s">
        <v>37</v>
      </c>
      <c r="C27" s="12">
        <v>0</v>
      </c>
      <c r="D27" s="13">
        <v>0</v>
      </c>
      <c r="E27" s="12">
        <v>0</v>
      </c>
      <c r="F27" s="12">
        <v>0</v>
      </c>
      <c r="G27" s="12">
        <v>12</v>
      </c>
      <c r="H27" s="12">
        <v>4</v>
      </c>
      <c r="I27" s="12">
        <v>73</v>
      </c>
      <c r="J27" s="13">
        <v>6</v>
      </c>
      <c r="K27" s="12">
        <v>111</v>
      </c>
      <c r="L27" s="13">
        <v>6</v>
      </c>
      <c r="M27" s="12">
        <v>73</v>
      </c>
      <c r="N27" s="13">
        <v>5</v>
      </c>
      <c r="O27" s="12">
        <v>233.5</v>
      </c>
      <c r="P27" s="13">
        <v>11</v>
      </c>
      <c r="Q27" s="12">
        <v>346</v>
      </c>
      <c r="R27" s="13">
        <v>18</v>
      </c>
      <c r="S27" s="12">
        <v>333</v>
      </c>
      <c r="T27" s="13">
        <v>17</v>
      </c>
      <c r="U27" s="12">
        <v>109.5</v>
      </c>
      <c r="V27" s="13">
        <v>9</v>
      </c>
      <c r="W27" s="12">
        <v>32</v>
      </c>
      <c r="X27" s="13">
        <v>1</v>
      </c>
      <c r="Y27" s="14">
        <v>1323</v>
      </c>
      <c r="Z27" s="15">
        <v>77</v>
      </c>
      <c r="AA27" s="12">
        <v>1210.0999999999999</v>
      </c>
      <c r="AB27" s="13">
        <v>78</v>
      </c>
      <c r="AC27" s="12">
        <f t="shared" si="0"/>
        <v>112.90000000000009</v>
      </c>
      <c r="AD27" s="13">
        <f t="shared" si="0"/>
        <v>-1</v>
      </c>
    </row>
    <row r="28" spans="1:30" x14ac:dyDescent="0.3">
      <c r="A28" s="10">
        <v>21</v>
      </c>
      <c r="B28" s="11" t="s">
        <v>38</v>
      </c>
      <c r="C28" s="12">
        <v>0</v>
      </c>
      <c r="D28" s="13">
        <v>0</v>
      </c>
      <c r="E28" s="12">
        <v>0</v>
      </c>
      <c r="F28" s="12">
        <v>0</v>
      </c>
      <c r="G28" s="12">
        <v>43.3</v>
      </c>
      <c r="H28" s="12">
        <v>4</v>
      </c>
      <c r="I28" s="12">
        <v>22.6</v>
      </c>
      <c r="J28" s="13">
        <v>1</v>
      </c>
      <c r="K28" s="12">
        <v>174.8</v>
      </c>
      <c r="L28" s="13">
        <v>7</v>
      </c>
      <c r="M28" s="12">
        <v>132</v>
      </c>
      <c r="N28" s="13">
        <v>7</v>
      </c>
      <c r="O28" s="12">
        <v>215.7</v>
      </c>
      <c r="P28" s="13">
        <v>10</v>
      </c>
      <c r="Q28" s="12">
        <v>369.8</v>
      </c>
      <c r="R28" s="13">
        <v>16</v>
      </c>
      <c r="S28" s="12">
        <v>226</v>
      </c>
      <c r="T28" s="13">
        <v>14</v>
      </c>
      <c r="U28" s="12">
        <v>31.1</v>
      </c>
      <c r="V28" s="13">
        <v>3</v>
      </c>
      <c r="W28" s="12">
        <v>0</v>
      </c>
      <c r="X28" s="13">
        <v>0</v>
      </c>
      <c r="Y28" s="14">
        <v>1215.3</v>
      </c>
      <c r="Z28" s="15">
        <v>62</v>
      </c>
      <c r="AA28" s="12">
        <v>1216.4000000000001</v>
      </c>
      <c r="AB28" s="13">
        <v>80</v>
      </c>
      <c r="AC28" s="12">
        <f t="shared" si="0"/>
        <v>-1.1000000000001364</v>
      </c>
      <c r="AD28" s="13">
        <f t="shared" si="0"/>
        <v>-18</v>
      </c>
    </row>
    <row r="29" spans="1:30" x14ac:dyDescent="0.3">
      <c r="A29" s="10">
        <v>22</v>
      </c>
      <c r="B29" s="11" t="s">
        <v>39</v>
      </c>
      <c r="C29" s="12">
        <v>0</v>
      </c>
      <c r="D29" s="13">
        <v>0</v>
      </c>
      <c r="E29" s="12">
        <v>0</v>
      </c>
      <c r="F29" s="12">
        <v>0</v>
      </c>
      <c r="G29" s="12">
        <v>0</v>
      </c>
      <c r="H29" s="12">
        <v>0</v>
      </c>
      <c r="I29" s="12">
        <v>17.5</v>
      </c>
      <c r="J29" s="13">
        <v>1</v>
      </c>
      <c r="K29" s="12">
        <v>84</v>
      </c>
      <c r="L29" s="13">
        <v>5</v>
      </c>
      <c r="M29" s="12">
        <v>103</v>
      </c>
      <c r="N29" s="13">
        <v>6.5</v>
      </c>
      <c r="O29" s="12">
        <v>143</v>
      </c>
      <c r="P29" s="13">
        <v>9</v>
      </c>
      <c r="Q29" s="12">
        <v>376.6</v>
      </c>
      <c r="R29" s="13">
        <v>15</v>
      </c>
      <c r="S29" s="12">
        <v>264.5</v>
      </c>
      <c r="T29" s="13">
        <v>16</v>
      </c>
      <c r="U29" s="12">
        <v>132.5</v>
      </c>
      <c r="V29" s="13">
        <v>9</v>
      </c>
      <c r="W29" s="12">
        <v>0</v>
      </c>
      <c r="X29" s="13">
        <v>0</v>
      </c>
      <c r="Y29" s="14">
        <v>1121.0999999999999</v>
      </c>
      <c r="Z29" s="15">
        <v>61.5</v>
      </c>
      <c r="AA29" s="12">
        <v>931.8</v>
      </c>
      <c r="AB29" s="13">
        <v>55.5</v>
      </c>
      <c r="AC29" s="12">
        <f t="shared" si="0"/>
        <v>189.29999999999995</v>
      </c>
      <c r="AD29" s="13">
        <f t="shared" si="0"/>
        <v>6</v>
      </c>
    </row>
    <row r="30" spans="1:30" ht="15" customHeight="1" x14ac:dyDescent="0.3">
      <c r="A30" s="10">
        <v>23</v>
      </c>
      <c r="B30" s="11" t="s">
        <v>40</v>
      </c>
      <c r="C30" s="12">
        <v>0</v>
      </c>
      <c r="D30" s="13">
        <v>0</v>
      </c>
      <c r="E30" s="12">
        <v>0</v>
      </c>
      <c r="F30" s="12">
        <v>0</v>
      </c>
      <c r="G30" s="12">
        <v>13</v>
      </c>
      <c r="H30" s="12">
        <v>1</v>
      </c>
      <c r="I30" s="12">
        <v>131</v>
      </c>
      <c r="J30" s="13">
        <v>6</v>
      </c>
      <c r="K30" s="12">
        <v>97</v>
      </c>
      <c r="L30" s="13">
        <v>5</v>
      </c>
      <c r="M30" s="12">
        <v>100</v>
      </c>
      <c r="N30" s="13">
        <v>5</v>
      </c>
      <c r="O30" s="12">
        <v>0</v>
      </c>
      <c r="P30" s="13">
        <v>0</v>
      </c>
      <c r="Q30" s="12">
        <v>321</v>
      </c>
      <c r="R30" s="13">
        <v>12</v>
      </c>
      <c r="S30" s="12">
        <v>402</v>
      </c>
      <c r="T30" s="13">
        <v>15</v>
      </c>
      <c r="U30" s="12">
        <v>44</v>
      </c>
      <c r="V30" s="13">
        <v>3</v>
      </c>
      <c r="W30" s="12">
        <v>18</v>
      </c>
      <c r="X30" s="13">
        <v>1</v>
      </c>
      <c r="Y30" s="14">
        <v>1126</v>
      </c>
      <c r="Z30" s="15">
        <v>48</v>
      </c>
      <c r="AA30" s="12">
        <v>1128</v>
      </c>
      <c r="AB30" s="13">
        <v>60</v>
      </c>
      <c r="AC30" s="12">
        <f t="shared" si="0"/>
        <v>-2</v>
      </c>
      <c r="AD30" s="13">
        <f t="shared" si="0"/>
        <v>-12</v>
      </c>
    </row>
    <row r="31" spans="1:30" ht="20.25" customHeight="1" x14ac:dyDescent="0.3">
      <c r="A31" s="16" t="s">
        <v>41</v>
      </c>
      <c r="B31" s="16"/>
      <c r="C31" s="17">
        <v>0</v>
      </c>
      <c r="D31" s="17">
        <v>0</v>
      </c>
      <c r="E31" s="17">
        <v>0.26</v>
      </c>
      <c r="F31" s="17">
        <v>1</v>
      </c>
      <c r="G31" s="17">
        <v>15.406089743589744</v>
      </c>
      <c r="H31" s="17">
        <v>3</v>
      </c>
      <c r="I31" s="17">
        <v>48.581428571428575</v>
      </c>
      <c r="J31" s="17">
        <v>5</v>
      </c>
      <c r="K31" s="17">
        <v>90.224761904761905</v>
      </c>
      <c r="L31" s="17">
        <v>7</v>
      </c>
      <c r="M31" s="17">
        <v>108.12</v>
      </c>
      <c r="N31" s="17">
        <v>8</v>
      </c>
      <c r="O31" s="17">
        <v>181.80357142857144</v>
      </c>
      <c r="P31" s="18">
        <v>11</v>
      </c>
      <c r="Q31" s="17">
        <v>351.67133333333334</v>
      </c>
      <c r="R31" s="17">
        <v>18</v>
      </c>
      <c r="S31" s="17">
        <v>252.73666666666668</v>
      </c>
      <c r="T31" s="17">
        <v>16</v>
      </c>
      <c r="U31" s="17">
        <v>84.9</v>
      </c>
      <c r="V31" s="17">
        <v>8</v>
      </c>
      <c r="W31" s="17">
        <v>3.3333333333333335</v>
      </c>
      <c r="X31" s="17">
        <v>1</v>
      </c>
      <c r="Y31" s="17">
        <v>1137.037184981685</v>
      </c>
      <c r="Z31" s="17">
        <v>78</v>
      </c>
      <c r="AA31" s="17">
        <v>1063.8826666666666</v>
      </c>
      <c r="AB31" s="18">
        <v>71</v>
      </c>
      <c r="AC31" s="17">
        <f t="shared" si="0"/>
        <v>73.154518315018322</v>
      </c>
      <c r="AD31" s="18">
        <f t="shared" si="0"/>
        <v>7</v>
      </c>
    </row>
    <row r="32" spans="1:30" ht="15" customHeight="1" x14ac:dyDescent="0.3">
      <c r="A32" s="10">
        <v>24</v>
      </c>
      <c r="B32" s="11" t="s">
        <v>42</v>
      </c>
      <c r="C32" s="12">
        <v>0</v>
      </c>
      <c r="D32" s="13">
        <v>0</v>
      </c>
      <c r="E32" s="12">
        <v>0</v>
      </c>
      <c r="F32" s="12">
        <v>0</v>
      </c>
      <c r="G32" s="12">
        <v>18.95</v>
      </c>
      <c r="H32" s="12">
        <v>3</v>
      </c>
      <c r="I32" s="12">
        <v>74.850000000000009</v>
      </c>
      <c r="J32" s="13">
        <v>7</v>
      </c>
      <c r="K32" s="12">
        <v>124.13333333333334</v>
      </c>
      <c r="L32" s="13">
        <v>7</v>
      </c>
      <c r="M32" s="12">
        <v>172.68333333333334</v>
      </c>
      <c r="N32" s="13">
        <v>12</v>
      </c>
      <c r="O32" s="12">
        <v>331.5</v>
      </c>
      <c r="P32" s="13">
        <v>14</v>
      </c>
      <c r="Q32" s="12">
        <v>180.25</v>
      </c>
      <c r="R32" s="13">
        <v>13</v>
      </c>
      <c r="S32" s="12">
        <v>167.7</v>
      </c>
      <c r="T32" s="13">
        <v>12</v>
      </c>
      <c r="U32" s="12">
        <v>93.35</v>
      </c>
      <c r="V32" s="13">
        <v>5</v>
      </c>
      <c r="W32" s="12">
        <v>0.5</v>
      </c>
      <c r="X32" s="13">
        <v>1</v>
      </c>
      <c r="Y32" s="14">
        <v>1163.9166666666665</v>
      </c>
      <c r="Z32" s="15">
        <v>74</v>
      </c>
      <c r="AA32" s="12">
        <v>855.56666666666661</v>
      </c>
      <c r="AB32" s="13">
        <v>60</v>
      </c>
      <c r="AC32" s="12">
        <f t="shared" si="0"/>
        <v>308.34999999999991</v>
      </c>
      <c r="AD32" s="13">
        <f t="shared" si="0"/>
        <v>14</v>
      </c>
    </row>
    <row r="33" spans="1:30" x14ac:dyDescent="0.3">
      <c r="A33" s="10">
        <v>25</v>
      </c>
      <c r="B33" s="11" t="s">
        <v>43</v>
      </c>
      <c r="C33" s="12">
        <v>0.96666666666666667</v>
      </c>
      <c r="D33" s="13">
        <v>1</v>
      </c>
      <c r="E33" s="12">
        <v>1.0111111111111111</v>
      </c>
      <c r="F33" s="12">
        <v>1</v>
      </c>
      <c r="G33" s="12">
        <v>35.895000000000003</v>
      </c>
      <c r="H33" s="12">
        <v>5</v>
      </c>
      <c r="I33" s="12">
        <v>90.17916666666666</v>
      </c>
      <c r="J33" s="13">
        <v>7</v>
      </c>
      <c r="K33" s="12">
        <v>101.97000000000001</v>
      </c>
      <c r="L33" s="13">
        <v>6</v>
      </c>
      <c r="M33" s="12">
        <v>155.27777777777777</v>
      </c>
      <c r="N33" s="13">
        <v>11</v>
      </c>
      <c r="O33" s="12">
        <v>269.48333333333335</v>
      </c>
      <c r="P33" s="13">
        <v>14</v>
      </c>
      <c r="Q33" s="12">
        <v>227.07777777777778</v>
      </c>
      <c r="R33" s="13">
        <v>12</v>
      </c>
      <c r="S33" s="12">
        <v>179.52500000000001</v>
      </c>
      <c r="T33" s="13">
        <v>12</v>
      </c>
      <c r="U33" s="12">
        <v>76.814285714285717</v>
      </c>
      <c r="V33" s="13">
        <v>6</v>
      </c>
      <c r="W33" s="12">
        <v>0.5</v>
      </c>
      <c r="X33" s="13">
        <v>1</v>
      </c>
      <c r="Y33" s="14">
        <v>1138.7001190476192</v>
      </c>
      <c r="Z33" s="15">
        <v>76</v>
      </c>
      <c r="AA33" s="12">
        <v>1115.0609896574013</v>
      </c>
      <c r="AB33" s="13">
        <v>69</v>
      </c>
      <c r="AC33" s="12">
        <f t="shared" si="0"/>
        <v>23.639129390217931</v>
      </c>
      <c r="AD33" s="13">
        <f t="shared" si="0"/>
        <v>7</v>
      </c>
    </row>
    <row r="34" spans="1:30" x14ac:dyDescent="0.3">
      <c r="A34" s="10">
        <v>26</v>
      </c>
      <c r="B34" s="11" t="s">
        <v>44</v>
      </c>
      <c r="C34" s="12">
        <v>0</v>
      </c>
      <c r="D34" s="13">
        <v>0</v>
      </c>
      <c r="E34" s="12">
        <v>0</v>
      </c>
      <c r="F34" s="12">
        <v>0</v>
      </c>
      <c r="G34" s="12">
        <v>35.933333333333337</v>
      </c>
      <c r="H34" s="12">
        <v>3</v>
      </c>
      <c r="I34" s="12">
        <v>116.66666666666667</v>
      </c>
      <c r="J34" s="13">
        <v>6</v>
      </c>
      <c r="K34" s="12">
        <v>92.733333333333334</v>
      </c>
      <c r="L34" s="13">
        <v>5</v>
      </c>
      <c r="M34" s="12">
        <v>143.1</v>
      </c>
      <c r="N34" s="13">
        <v>10</v>
      </c>
      <c r="O34" s="12">
        <v>254.13333333333333</v>
      </c>
      <c r="P34" s="13">
        <v>13</v>
      </c>
      <c r="Q34" s="12">
        <v>246</v>
      </c>
      <c r="R34" s="13">
        <v>12</v>
      </c>
      <c r="S34" s="12">
        <v>189.35000000000002</v>
      </c>
      <c r="T34" s="13">
        <v>8</v>
      </c>
      <c r="U34" s="12">
        <v>53.7</v>
      </c>
      <c r="V34" s="13">
        <v>6</v>
      </c>
      <c r="W34" s="12">
        <v>0</v>
      </c>
      <c r="X34" s="13">
        <v>0</v>
      </c>
      <c r="Y34" s="14">
        <v>1131.6166666666668</v>
      </c>
      <c r="Z34" s="15">
        <v>63</v>
      </c>
      <c r="AA34" s="12">
        <v>1116.375</v>
      </c>
      <c r="AB34" s="13">
        <v>57</v>
      </c>
      <c r="AC34" s="12">
        <f t="shared" si="0"/>
        <v>15.241666666666788</v>
      </c>
      <c r="AD34" s="13">
        <f t="shared" si="0"/>
        <v>6</v>
      </c>
    </row>
    <row r="35" spans="1:30" x14ac:dyDescent="0.3">
      <c r="A35" s="10">
        <v>27</v>
      </c>
      <c r="B35" s="11" t="s">
        <v>45</v>
      </c>
      <c r="C35" s="12">
        <v>0</v>
      </c>
      <c r="D35" s="13">
        <v>0</v>
      </c>
      <c r="E35" s="12">
        <v>2.5499999999999998</v>
      </c>
      <c r="F35" s="12">
        <v>1</v>
      </c>
      <c r="G35" s="12">
        <v>61.966666666666669</v>
      </c>
      <c r="H35" s="12">
        <v>3</v>
      </c>
      <c r="I35" s="12">
        <v>83.3</v>
      </c>
      <c r="J35" s="13">
        <v>6</v>
      </c>
      <c r="K35" s="12">
        <v>80.75</v>
      </c>
      <c r="L35" s="13">
        <v>0.7</v>
      </c>
      <c r="M35" s="12">
        <v>162.1</v>
      </c>
      <c r="N35" s="13">
        <v>10</v>
      </c>
      <c r="O35" s="12">
        <v>221.9</v>
      </c>
      <c r="P35" s="13">
        <v>15</v>
      </c>
      <c r="Q35" s="12">
        <v>156.44999999999999</v>
      </c>
      <c r="R35" s="13">
        <v>13</v>
      </c>
      <c r="S35" s="12">
        <v>144.5</v>
      </c>
      <c r="T35" s="13">
        <v>10</v>
      </c>
      <c r="U35" s="12">
        <v>119.80000000000001</v>
      </c>
      <c r="V35" s="13">
        <v>8</v>
      </c>
      <c r="W35" s="12">
        <v>0</v>
      </c>
      <c r="X35" s="13">
        <v>0</v>
      </c>
      <c r="Y35" s="14">
        <v>1033.3166666666666</v>
      </c>
      <c r="Z35" s="15">
        <v>66.7</v>
      </c>
      <c r="AA35" s="12">
        <v>674.41666666666674</v>
      </c>
      <c r="AB35" s="13">
        <v>46</v>
      </c>
      <c r="AC35" s="12">
        <f t="shared" si="0"/>
        <v>358.89999999999986</v>
      </c>
      <c r="AD35" s="13">
        <f t="shared" si="0"/>
        <v>20.700000000000003</v>
      </c>
    </row>
    <row r="36" spans="1:30" ht="19.5" customHeight="1" x14ac:dyDescent="0.3">
      <c r="A36" s="16" t="s">
        <v>46</v>
      </c>
      <c r="B36" s="16"/>
      <c r="C36" s="17">
        <v>0.96666666666666667</v>
      </c>
      <c r="D36" s="17">
        <v>1</v>
      </c>
      <c r="E36" s="17">
        <v>1.0111111111111111</v>
      </c>
      <c r="F36" s="17">
        <v>1</v>
      </c>
      <c r="G36" s="17">
        <v>35.895000000000003</v>
      </c>
      <c r="H36" s="17">
        <v>5</v>
      </c>
      <c r="I36" s="17">
        <v>90.17916666666666</v>
      </c>
      <c r="J36" s="17">
        <v>7</v>
      </c>
      <c r="K36" s="17">
        <v>101.97000000000001</v>
      </c>
      <c r="L36" s="17">
        <v>6</v>
      </c>
      <c r="M36" s="17">
        <v>155.27777777777777</v>
      </c>
      <c r="N36" s="17">
        <v>11</v>
      </c>
      <c r="O36" s="17">
        <v>269.48333333333335</v>
      </c>
      <c r="P36" s="18">
        <v>14</v>
      </c>
      <c r="Q36" s="17">
        <v>227.07777777777778</v>
      </c>
      <c r="R36" s="17">
        <v>12</v>
      </c>
      <c r="S36" s="17">
        <v>179.52500000000001</v>
      </c>
      <c r="T36" s="17">
        <v>12</v>
      </c>
      <c r="U36" s="17">
        <v>76.814285714285717</v>
      </c>
      <c r="V36" s="17">
        <v>6</v>
      </c>
      <c r="W36" s="17">
        <v>0.5</v>
      </c>
      <c r="X36" s="17">
        <v>1</v>
      </c>
      <c r="Y36" s="17">
        <v>1138.7001190476192</v>
      </c>
      <c r="Z36" s="17">
        <v>76</v>
      </c>
      <c r="AA36" s="17">
        <v>1115.0609896574013</v>
      </c>
      <c r="AB36" s="18">
        <v>69</v>
      </c>
      <c r="AC36" s="17">
        <f t="shared" si="0"/>
        <v>23.639129390217931</v>
      </c>
      <c r="AD36" s="18">
        <f t="shared" si="0"/>
        <v>7</v>
      </c>
    </row>
    <row r="37" spans="1:30" ht="19.5" customHeight="1" x14ac:dyDescent="0.3">
      <c r="A37" s="16" t="s">
        <v>47</v>
      </c>
      <c r="B37" s="16"/>
      <c r="C37" s="17">
        <v>0.27619047619047621</v>
      </c>
      <c r="D37" s="17">
        <v>1</v>
      </c>
      <c r="E37" s="17">
        <v>0.54166666666666663</v>
      </c>
      <c r="F37" s="17">
        <v>1</v>
      </c>
      <c r="G37" s="17">
        <v>25.302456709956708</v>
      </c>
      <c r="H37" s="17">
        <v>4</v>
      </c>
      <c r="I37" s="17">
        <v>70.941209000762768</v>
      </c>
      <c r="J37" s="17">
        <v>6</v>
      </c>
      <c r="K37" s="17">
        <v>94.629333333333321</v>
      </c>
      <c r="L37" s="17">
        <v>7</v>
      </c>
      <c r="M37" s="17">
        <v>128.66200000000001</v>
      </c>
      <c r="N37" s="17">
        <v>9</v>
      </c>
      <c r="O37" s="17">
        <v>215.99545454545455</v>
      </c>
      <c r="P37" s="18">
        <v>12</v>
      </c>
      <c r="Q37" s="17">
        <v>304.94875000000002</v>
      </c>
      <c r="R37" s="17">
        <v>16</v>
      </c>
      <c r="S37" s="17">
        <v>227.27173913043478</v>
      </c>
      <c r="T37" s="17">
        <v>14</v>
      </c>
      <c r="U37" s="17">
        <v>82.327272727272728</v>
      </c>
      <c r="V37" s="17">
        <v>7</v>
      </c>
      <c r="W37" s="17">
        <v>3.15625</v>
      </c>
      <c r="X37" s="17">
        <v>1</v>
      </c>
      <c r="Y37" s="17">
        <v>1154.052322590072</v>
      </c>
      <c r="Z37" s="17">
        <v>78</v>
      </c>
      <c r="AA37" s="17">
        <v>1085.6883219241122</v>
      </c>
      <c r="AB37" s="18">
        <v>70</v>
      </c>
      <c r="AC37" s="17">
        <f t="shared" si="0"/>
        <v>68.364000665959793</v>
      </c>
      <c r="AD37" s="18">
        <f t="shared" si="0"/>
        <v>8</v>
      </c>
    </row>
    <row r="38" spans="1:30" x14ac:dyDescent="0.3">
      <c r="A38" s="10">
        <v>28</v>
      </c>
      <c r="B38" s="11" t="s">
        <v>48</v>
      </c>
      <c r="C38" s="12">
        <v>0</v>
      </c>
      <c r="D38" s="13">
        <v>0</v>
      </c>
      <c r="E38" s="14">
        <v>12</v>
      </c>
      <c r="F38" s="15">
        <v>1</v>
      </c>
      <c r="G38" s="14">
        <v>58.666666666666671</v>
      </c>
      <c r="H38" s="15">
        <v>4</v>
      </c>
      <c r="I38" s="12">
        <v>81.666666666666671</v>
      </c>
      <c r="J38" s="13">
        <v>5</v>
      </c>
      <c r="K38" s="12">
        <v>81.666666666666671</v>
      </c>
      <c r="L38" s="13">
        <v>5</v>
      </c>
      <c r="M38" s="12">
        <v>94.666666666666671</v>
      </c>
      <c r="N38" s="13">
        <v>7</v>
      </c>
      <c r="O38" s="12">
        <v>252</v>
      </c>
      <c r="P38" s="13">
        <v>12</v>
      </c>
      <c r="Q38" s="12">
        <v>94.666666666666657</v>
      </c>
      <c r="R38" s="13">
        <v>8</v>
      </c>
      <c r="S38" s="12">
        <v>137.5</v>
      </c>
      <c r="T38" s="13">
        <v>8</v>
      </c>
      <c r="U38" s="12">
        <v>150.33333333333334</v>
      </c>
      <c r="V38" s="13">
        <v>10</v>
      </c>
      <c r="W38" s="12">
        <v>1.6666666666666667</v>
      </c>
      <c r="X38" s="13">
        <v>1</v>
      </c>
      <c r="Y38" s="14">
        <v>964.83333333333337</v>
      </c>
      <c r="Z38" s="15">
        <v>61</v>
      </c>
      <c r="AA38" s="12">
        <v>1138.9666666666667</v>
      </c>
      <c r="AB38" s="13">
        <v>63</v>
      </c>
      <c r="AC38" s="12">
        <f t="shared" si="0"/>
        <v>-174.13333333333333</v>
      </c>
      <c r="AD38" s="13">
        <f t="shared" si="0"/>
        <v>-2</v>
      </c>
    </row>
    <row r="39" spans="1:30" x14ac:dyDescent="0.3">
      <c r="A39" s="10">
        <v>29</v>
      </c>
      <c r="B39" s="11" t="s">
        <v>49</v>
      </c>
      <c r="C39" s="12">
        <v>0</v>
      </c>
      <c r="D39" s="13">
        <v>0</v>
      </c>
      <c r="E39" s="14">
        <v>0</v>
      </c>
      <c r="F39" s="15">
        <v>0</v>
      </c>
      <c r="G39" s="14">
        <v>61</v>
      </c>
      <c r="H39" s="15">
        <v>3</v>
      </c>
      <c r="I39" s="12">
        <v>173.33333333333331</v>
      </c>
      <c r="J39" s="13">
        <v>7</v>
      </c>
      <c r="K39" s="12">
        <v>173.33333333333331</v>
      </c>
      <c r="L39" s="13">
        <v>7</v>
      </c>
      <c r="M39" s="12">
        <v>113.5</v>
      </c>
      <c r="N39" s="13">
        <v>6</v>
      </c>
      <c r="O39" s="12">
        <v>279.66666666666663</v>
      </c>
      <c r="P39" s="13">
        <v>14</v>
      </c>
      <c r="Q39" s="12">
        <v>105.66666666666666</v>
      </c>
      <c r="R39" s="13">
        <v>6</v>
      </c>
      <c r="S39" s="12">
        <v>205.57333333333332</v>
      </c>
      <c r="T39" s="13">
        <v>10</v>
      </c>
      <c r="U39" s="12">
        <v>143.73333333333335</v>
      </c>
      <c r="V39" s="13">
        <v>8</v>
      </c>
      <c r="W39" s="12">
        <v>6.666666666666667</v>
      </c>
      <c r="X39" s="13">
        <v>1</v>
      </c>
      <c r="Y39" s="14">
        <v>1262.4733333333334</v>
      </c>
      <c r="Z39" s="15">
        <v>62</v>
      </c>
      <c r="AA39" s="12">
        <v>1256.1666666666667</v>
      </c>
      <c r="AB39" s="13">
        <v>60</v>
      </c>
      <c r="AC39" s="12">
        <f t="shared" si="0"/>
        <v>6.3066666666666151</v>
      </c>
      <c r="AD39" s="13">
        <f t="shared" si="0"/>
        <v>2</v>
      </c>
    </row>
    <row r="40" spans="1:30" x14ac:dyDescent="0.3">
      <c r="A40" s="10">
        <v>30</v>
      </c>
      <c r="B40" s="11" t="s">
        <v>50</v>
      </c>
      <c r="C40" s="12">
        <v>0</v>
      </c>
      <c r="D40" s="13">
        <v>0</v>
      </c>
      <c r="E40" s="14">
        <v>27.5</v>
      </c>
      <c r="F40" s="15">
        <v>2</v>
      </c>
      <c r="G40" s="14">
        <v>104.5</v>
      </c>
      <c r="H40" s="15">
        <v>5</v>
      </c>
      <c r="I40" s="12">
        <v>132</v>
      </c>
      <c r="J40" s="13">
        <v>6</v>
      </c>
      <c r="K40" s="12">
        <v>132</v>
      </c>
      <c r="L40" s="13">
        <v>6</v>
      </c>
      <c r="M40" s="12">
        <v>129</v>
      </c>
      <c r="N40" s="13">
        <v>7</v>
      </c>
      <c r="O40" s="12">
        <v>307</v>
      </c>
      <c r="P40" s="13">
        <v>13</v>
      </c>
      <c r="Q40" s="12">
        <v>103</v>
      </c>
      <c r="R40" s="13">
        <v>7</v>
      </c>
      <c r="S40" s="12">
        <v>206.95</v>
      </c>
      <c r="T40" s="13">
        <v>10</v>
      </c>
      <c r="U40" s="12">
        <v>212.66666666666666</v>
      </c>
      <c r="V40" s="13">
        <v>11</v>
      </c>
      <c r="W40" s="12">
        <v>8</v>
      </c>
      <c r="X40" s="13">
        <v>1</v>
      </c>
      <c r="Y40" s="14">
        <v>1362.6166666666668</v>
      </c>
      <c r="Z40" s="15">
        <v>68</v>
      </c>
      <c r="AA40" s="12">
        <v>1527.8649999999998</v>
      </c>
      <c r="AB40" s="13">
        <v>66</v>
      </c>
      <c r="AC40" s="12">
        <f t="shared" si="0"/>
        <v>-165.24833333333299</v>
      </c>
      <c r="AD40" s="13">
        <f t="shared" si="0"/>
        <v>2</v>
      </c>
    </row>
    <row r="41" spans="1:30" x14ac:dyDescent="0.3">
      <c r="A41" s="10">
        <v>31</v>
      </c>
      <c r="B41" s="11" t="s">
        <v>51</v>
      </c>
      <c r="C41" s="12">
        <v>0</v>
      </c>
      <c r="D41" s="13">
        <v>0</v>
      </c>
      <c r="E41" s="14">
        <v>17.5</v>
      </c>
      <c r="F41" s="15">
        <v>1</v>
      </c>
      <c r="G41" s="14">
        <v>40.799999999999997</v>
      </c>
      <c r="H41" s="15">
        <v>3</v>
      </c>
      <c r="I41" s="12">
        <v>193.1</v>
      </c>
      <c r="J41" s="13">
        <v>9</v>
      </c>
      <c r="K41" s="12">
        <v>193.1</v>
      </c>
      <c r="L41" s="13">
        <v>9</v>
      </c>
      <c r="M41" s="12">
        <v>129.66666666666669</v>
      </c>
      <c r="N41" s="13">
        <v>8</v>
      </c>
      <c r="O41" s="12">
        <v>210.63333333333333</v>
      </c>
      <c r="P41" s="13">
        <v>12</v>
      </c>
      <c r="Q41" s="12">
        <v>89.566666666666663</v>
      </c>
      <c r="R41" s="13">
        <v>7</v>
      </c>
      <c r="S41" s="12">
        <v>114.4</v>
      </c>
      <c r="T41" s="13">
        <v>8</v>
      </c>
      <c r="U41" s="12">
        <v>181.93333333333331</v>
      </c>
      <c r="V41" s="13">
        <v>9</v>
      </c>
      <c r="W41" s="12">
        <v>3.8000000000000003</v>
      </c>
      <c r="X41" s="13">
        <v>1</v>
      </c>
      <c r="Y41" s="14">
        <v>1174.5</v>
      </c>
      <c r="Z41" s="15">
        <v>67</v>
      </c>
      <c r="AA41" s="12">
        <v>1239.9333333333332</v>
      </c>
      <c r="AB41" s="13">
        <v>55</v>
      </c>
      <c r="AC41" s="12">
        <f t="shared" si="0"/>
        <v>-65.433333333333167</v>
      </c>
      <c r="AD41" s="13">
        <f t="shared" si="0"/>
        <v>12</v>
      </c>
    </row>
    <row r="42" spans="1:30" x14ac:dyDescent="0.3">
      <c r="A42" s="10">
        <v>32</v>
      </c>
      <c r="B42" s="11" t="s">
        <v>52</v>
      </c>
      <c r="C42" s="12">
        <v>0</v>
      </c>
      <c r="D42" s="13">
        <v>0</v>
      </c>
      <c r="E42" s="14">
        <v>5.333333333333333</v>
      </c>
      <c r="F42" s="15">
        <v>1</v>
      </c>
      <c r="G42" s="14">
        <v>49.75</v>
      </c>
      <c r="H42" s="15">
        <v>2</v>
      </c>
      <c r="I42" s="12">
        <v>156.5</v>
      </c>
      <c r="J42" s="13">
        <v>6</v>
      </c>
      <c r="K42" s="12">
        <v>156.5</v>
      </c>
      <c r="L42" s="13">
        <v>6</v>
      </c>
      <c r="M42" s="12">
        <v>152.5</v>
      </c>
      <c r="N42" s="13">
        <v>7</v>
      </c>
      <c r="O42" s="12">
        <v>286.25</v>
      </c>
      <c r="P42" s="13">
        <v>13</v>
      </c>
      <c r="Q42" s="12">
        <v>161.45833333333334</v>
      </c>
      <c r="R42" s="13">
        <v>8</v>
      </c>
      <c r="S42" s="12">
        <v>200</v>
      </c>
      <c r="T42" s="13">
        <v>9</v>
      </c>
      <c r="U42" s="12">
        <v>210</v>
      </c>
      <c r="V42" s="13">
        <v>11</v>
      </c>
      <c r="W42" s="12">
        <v>15.680000000000001</v>
      </c>
      <c r="X42" s="13">
        <v>2</v>
      </c>
      <c r="Y42" s="14">
        <v>1393.9716666666668</v>
      </c>
      <c r="Z42" s="15">
        <v>65</v>
      </c>
      <c r="AA42" s="12">
        <v>1271.0999999999999</v>
      </c>
      <c r="AB42" s="13">
        <v>59</v>
      </c>
      <c r="AC42" s="12">
        <f t="shared" si="0"/>
        <v>122.8716666666669</v>
      </c>
      <c r="AD42" s="13">
        <f t="shared" si="0"/>
        <v>6</v>
      </c>
    </row>
    <row r="43" spans="1:30" x14ac:dyDescent="0.3">
      <c r="A43" s="10">
        <v>33</v>
      </c>
      <c r="B43" s="11" t="s">
        <v>53</v>
      </c>
      <c r="C43" s="12">
        <v>0</v>
      </c>
      <c r="D43" s="13">
        <v>0</v>
      </c>
      <c r="E43" s="14">
        <v>12.5</v>
      </c>
      <c r="F43" s="15">
        <v>1</v>
      </c>
      <c r="G43" s="14">
        <v>67.924999999999997</v>
      </c>
      <c r="H43" s="15">
        <v>4</v>
      </c>
      <c r="I43" s="12">
        <v>117.425</v>
      </c>
      <c r="J43" s="13">
        <v>8</v>
      </c>
      <c r="K43" s="12">
        <v>117.425</v>
      </c>
      <c r="L43" s="13">
        <v>8</v>
      </c>
      <c r="M43" s="12">
        <v>130.92500000000001</v>
      </c>
      <c r="N43" s="13">
        <v>7.5</v>
      </c>
      <c r="O43" s="12">
        <v>245.10000000000002</v>
      </c>
      <c r="P43" s="13">
        <v>12</v>
      </c>
      <c r="Q43" s="12">
        <v>113.925</v>
      </c>
      <c r="R43" s="13">
        <v>8</v>
      </c>
      <c r="S43" s="12">
        <v>168.14750000000001</v>
      </c>
      <c r="T43" s="13">
        <v>9</v>
      </c>
      <c r="U43" s="12">
        <v>187.12499999999997</v>
      </c>
      <c r="V43" s="13">
        <v>12</v>
      </c>
      <c r="W43" s="12">
        <v>6.75</v>
      </c>
      <c r="X43" s="13">
        <v>1</v>
      </c>
      <c r="Y43" s="14">
        <v>1167.2474999999999</v>
      </c>
      <c r="Z43" s="15">
        <v>70.5</v>
      </c>
      <c r="AA43" s="12">
        <v>846.65000000000009</v>
      </c>
      <c r="AB43" s="13">
        <v>51</v>
      </c>
      <c r="AC43" s="12">
        <f t="shared" si="0"/>
        <v>320.59749999999985</v>
      </c>
      <c r="AD43" s="13">
        <f t="shared" si="0"/>
        <v>19.5</v>
      </c>
    </row>
    <row r="44" spans="1:30" x14ac:dyDescent="0.3">
      <c r="A44" s="10">
        <v>34</v>
      </c>
      <c r="B44" s="11" t="s">
        <v>54</v>
      </c>
      <c r="C44" s="12">
        <v>0</v>
      </c>
      <c r="D44" s="13">
        <v>0</v>
      </c>
      <c r="E44" s="14">
        <v>8.35</v>
      </c>
      <c r="F44" s="15">
        <v>1</v>
      </c>
      <c r="G44" s="14">
        <v>56.85</v>
      </c>
      <c r="H44" s="15">
        <v>5</v>
      </c>
      <c r="I44" s="12">
        <v>122.35</v>
      </c>
      <c r="J44" s="13">
        <v>8</v>
      </c>
      <c r="K44" s="12">
        <v>122.35</v>
      </c>
      <c r="L44" s="13">
        <v>8</v>
      </c>
      <c r="M44" s="12">
        <v>121.375</v>
      </c>
      <c r="N44" s="13">
        <v>7</v>
      </c>
      <c r="O44" s="12">
        <v>306.84250000000003</v>
      </c>
      <c r="P44" s="13">
        <v>13</v>
      </c>
      <c r="Q44" s="12">
        <v>138.625</v>
      </c>
      <c r="R44" s="13">
        <v>7</v>
      </c>
      <c r="S44" s="12">
        <v>147.35</v>
      </c>
      <c r="T44" s="13">
        <v>8</v>
      </c>
      <c r="U44" s="12">
        <v>155.98500000000001</v>
      </c>
      <c r="V44" s="13">
        <v>9</v>
      </c>
      <c r="W44" s="12">
        <v>8</v>
      </c>
      <c r="X44" s="13">
        <v>1</v>
      </c>
      <c r="Y44" s="14">
        <v>1188.0774999999999</v>
      </c>
      <c r="Z44" s="15">
        <v>67</v>
      </c>
      <c r="AA44" s="12">
        <v>959.92499999999984</v>
      </c>
      <c r="AB44" s="13">
        <v>58</v>
      </c>
      <c r="AC44" s="12">
        <f t="shared" si="0"/>
        <v>228.15250000000003</v>
      </c>
      <c r="AD44" s="13">
        <f t="shared" si="0"/>
        <v>9</v>
      </c>
    </row>
    <row r="45" spans="1:30" x14ac:dyDescent="0.3">
      <c r="A45" s="10">
        <v>35</v>
      </c>
      <c r="B45" s="11" t="s">
        <v>55</v>
      </c>
      <c r="C45" s="12">
        <v>0</v>
      </c>
      <c r="D45" s="13">
        <v>0</v>
      </c>
      <c r="E45" s="14">
        <v>10.666666666666666</v>
      </c>
      <c r="F45" s="15">
        <v>1</v>
      </c>
      <c r="G45" s="14">
        <v>79</v>
      </c>
      <c r="H45" s="15">
        <v>5</v>
      </c>
      <c r="I45" s="12">
        <v>139.33333333333334</v>
      </c>
      <c r="J45" s="13">
        <v>6</v>
      </c>
      <c r="K45" s="12">
        <v>139.33333333333334</v>
      </c>
      <c r="L45" s="13">
        <v>6</v>
      </c>
      <c r="M45" s="12">
        <v>103.66666666666667</v>
      </c>
      <c r="N45" s="13">
        <v>5</v>
      </c>
      <c r="O45" s="12">
        <v>221.33333333333334</v>
      </c>
      <c r="P45" s="13">
        <v>10</v>
      </c>
      <c r="Q45" s="12">
        <v>145.33333333333331</v>
      </c>
      <c r="R45" s="13">
        <v>7</v>
      </c>
      <c r="S45" s="12">
        <v>162.5</v>
      </c>
      <c r="T45" s="13">
        <v>8</v>
      </c>
      <c r="U45" s="12">
        <v>212.99999999999997</v>
      </c>
      <c r="V45" s="13">
        <v>10</v>
      </c>
      <c r="W45" s="12">
        <v>12.666666666666666</v>
      </c>
      <c r="X45" s="13">
        <v>1</v>
      </c>
      <c r="Y45" s="14">
        <v>1226.8333333333335</v>
      </c>
      <c r="Z45" s="15">
        <v>59</v>
      </c>
      <c r="AA45" s="12">
        <v>1269.3666666666668</v>
      </c>
      <c r="AB45" s="13">
        <v>56</v>
      </c>
      <c r="AC45" s="12">
        <f t="shared" si="0"/>
        <v>-42.533333333333303</v>
      </c>
      <c r="AD45" s="13">
        <f t="shared" si="0"/>
        <v>3</v>
      </c>
    </row>
    <row r="46" spans="1:30" x14ac:dyDescent="0.3">
      <c r="A46" s="10">
        <v>36</v>
      </c>
      <c r="B46" s="11" t="s">
        <v>56</v>
      </c>
      <c r="C46" s="12">
        <v>0</v>
      </c>
      <c r="D46" s="13">
        <v>0</v>
      </c>
      <c r="E46" s="14">
        <v>21.5</v>
      </c>
      <c r="F46" s="15">
        <v>1</v>
      </c>
      <c r="G46" s="14">
        <v>111.84</v>
      </c>
      <c r="H46" s="15">
        <v>6</v>
      </c>
      <c r="I46" s="12">
        <v>182</v>
      </c>
      <c r="J46" s="13">
        <v>8</v>
      </c>
      <c r="K46" s="12">
        <v>182</v>
      </c>
      <c r="L46" s="13">
        <v>8</v>
      </c>
      <c r="M46" s="12">
        <v>175.70833333333334</v>
      </c>
      <c r="N46" s="13">
        <v>7</v>
      </c>
      <c r="O46" s="12">
        <v>290.875</v>
      </c>
      <c r="P46" s="13">
        <v>11</v>
      </c>
      <c r="Q46" s="12">
        <v>198.2</v>
      </c>
      <c r="R46" s="13">
        <v>10</v>
      </c>
      <c r="S46" s="12">
        <v>218.2</v>
      </c>
      <c r="T46" s="13">
        <v>10</v>
      </c>
      <c r="U46" s="12">
        <v>231.55</v>
      </c>
      <c r="V46" s="13">
        <v>10</v>
      </c>
      <c r="W46" s="12">
        <v>13.824999999999999</v>
      </c>
      <c r="X46" s="13">
        <v>1</v>
      </c>
      <c r="Y46" s="14">
        <v>1625.6983333333335</v>
      </c>
      <c r="Z46" s="15">
        <v>72</v>
      </c>
      <c r="AA46" s="12">
        <v>1003.495</v>
      </c>
      <c r="AB46" s="13">
        <v>60</v>
      </c>
      <c r="AC46" s="12">
        <f t="shared" si="0"/>
        <v>622.20333333333349</v>
      </c>
      <c r="AD46" s="13">
        <f t="shared" si="0"/>
        <v>12</v>
      </c>
    </row>
    <row r="47" spans="1:30" ht="20.25" customHeight="1" x14ac:dyDescent="0.3">
      <c r="A47" s="16" t="s">
        <v>57</v>
      </c>
      <c r="B47" s="16"/>
      <c r="C47" s="17">
        <v>0</v>
      </c>
      <c r="D47" s="17">
        <v>0</v>
      </c>
      <c r="E47" s="17">
        <v>11.073684210526316</v>
      </c>
      <c r="F47" s="17">
        <v>1</v>
      </c>
      <c r="G47" s="17">
        <v>69.571538461538466</v>
      </c>
      <c r="H47" s="17">
        <v>5</v>
      </c>
      <c r="I47" s="17">
        <v>146.59230769230771</v>
      </c>
      <c r="J47" s="17">
        <v>8</v>
      </c>
      <c r="K47" s="17">
        <v>146.59230769230771</v>
      </c>
      <c r="L47" s="17">
        <v>8</v>
      </c>
      <c r="M47" s="17">
        <v>131.46923076923076</v>
      </c>
      <c r="N47" s="17">
        <v>7</v>
      </c>
      <c r="O47" s="17">
        <v>269.2373076923077</v>
      </c>
      <c r="P47" s="18">
        <v>12</v>
      </c>
      <c r="Q47" s="17">
        <v>128.82953846153848</v>
      </c>
      <c r="R47" s="17">
        <v>8</v>
      </c>
      <c r="S47" s="17">
        <v>175.85038461538463</v>
      </c>
      <c r="T47" s="17">
        <v>9</v>
      </c>
      <c r="U47" s="17">
        <v>185.88697802197805</v>
      </c>
      <c r="V47" s="17">
        <v>11</v>
      </c>
      <c r="W47" s="17">
        <v>8.2535714285714299</v>
      </c>
      <c r="X47" s="17">
        <v>1</v>
      </c>
      <c r="Y47" s="17">
        <v>1273.3568490456914</v>
      </c>
      <c r="Z47" s="17">
        <v>70</v>
      </c>
      <c r="AA47" s="17">
        <v>1137.8062846272942</v>
      </c>
      <c r="AB47" s="18">
        <v>63</v>
      </c>
      <c r="AC47" s="17">
        <f t="shared" si="0"/>
        <v>135.55056441839724</v>
      </c>
      <c r="AD47" s="18">
        <f t="shared" si="0"/>
        <v>7</v>
      </c>
    </row>
    <row r="48" spans="1:30" x14ac:dyDescent="0.3">
      <c r="A48" s="10">
        <v>37</v>
      </c>
      <c r="B48" s="11" t="s">
        <v>58</v>
      </c>
      <c r="C48" s="12">
        <v>0</v>
      </c>
      <c r="D48" s="13">
        <v>0</v>
      </c>
      <c r="E48" s="14">
        <v>0.8</v>
      </c>
      <c r="F48" s="15">
        <v>1</v>
      </c>
      <c r="G48" s="14">
        <v>55.2</v>
      </c>
      <c r="H48" s="15">
        <v>3</v>
      </c>
      <c r="I48" s="12">
        <v>68.680000000000007</v>
      </c>
      <c r="J48" s="13">
        <v>5</v>
      </c>
      <c r="K48" s="12">
        <v>68.680000000000007</v>
      </c>
      <c r="L48" s="13">
        <v>5</v>
      </c>
      <c r="M48" s="12">
        <v>74</v>
      </c>
      <c r="N48" s="13">
        <v>3</v>
      </c>
      <c r="O48" s="12">
        <v>123.87500000000001</v>
      </c>
      <c r="P48" s="13">
        <v>9</v>
      </c>
      <c r="Q48" s="12">
        <v>159.83750000000001</v>
      </c>
      <c r="R48" s="13">
        <v>8</v>
      </c>
      <c r="S48" s="12">
        <v>265.7</v>
      </c>
      <c r="T48" s="13">
        <v>11</v>
      </c>
      <c r="U48" s="12">
        <v>113.7675</v>
      </c>
      <c r="V48" s="13">
        <v>8</v>
      </c>
      <c r="W48" s="12">
        <v>2.95</v>
      </c>
      <c r="X48" s="13">
        <v>1</v>
      </c>
      <c r="Y48" s="14">
        <v>933.49000000000012</v>
      </c>
      <c r="Z48" s="15">
        <v>54</v>
      </c>
      <c r="AA48" s="12">
        <v>1179.1600000000001</v>
      </c>
      <c r="AB48" s="13">
        <v>54</v>
      </c>
      <c r="AC48" s="12">
        <f t="shared" si="0"/>
        <v>-245.66999999999996</v>
      </c>
      <c r="AD48" s="13">
        <f t="shared" si="0"/>
        <v>0</v>
      </c>
    </row>
    <row r="49" spans="1:30" x14ac:dyDescent="0.3">
      <c r="A49" s="10">
        <v>38</v>
      </c>
      <c r="B49" s="11" t="s">
        <v>59</v>
      </c>
      <c r="C49" s="12">
        <v>0</v>
      </c>
      <c r="D49" s="13">
        <v>0</v>
      </c>
      <c r="E49" s="14">
        <v>5.5333333333333323</v>
      </c>
      <c r="F49" s="15">
        <v>1</v>
      </c>
      <c r="G49" s="14">
        <v>93.531666666666666</v>
      </c>
      <c r="H49" s="15">
        <v>4</v>
      </c>
      <c r="I49" s="12">
        <v>81.599999999999994</v>
      </c>
      <c r="J49" s="13">
        <v>4</v>
      </c>
      <c r="K49" s="12">
        <v>81.599999999999994</v>
      </c>
      <c r="L49" s="13">
        <v>4</v>
      </c>
      <c r="M49" s="12">
        <v>119.66999999999999</v>
      </c>
      <c r="N49" s="13">
        <v>8</v>
      </c>
      <c r="O49" s="12">
        <v>258.18</v>
      </c>
      <c r="P49" s="13">
        <v>9</v>
      </c>
      <c r="Q49" s="12">
        <v>130.39999999999998</v>
      </c>
      <c r="R49" s="13">
        <v>8</v>
      </c>
      <c r="S49" s="12">
        <v>284.60500000000002</v>
      </c>
      <c r="T49" s="13">
        <v>12</v>
      </c>
      <c r="U49" s="12">
        <v>366.66500000000002</v>
      </c>
      <c r="V49" s="13">
        <v>14</v>
      </c>
      <c r="W49" s="12">
        <v>43.959999999999994</v>
      </c>
      <c r="X49" s="13">
        <v>2</v>
      </c>
      <c r="Y49" s="14">
        <v>1465.7449999999999</v>
      </c>
      <c r="Z49" s="15">
        <v>66</v>
      </c>
      <c r="AA49" s="12">
        <v>994.09999999999991</v>
      </c>
      <c r="AB49" s="13">
        <v>45</v>
      </c>
      <c r="AC49" s="12">
        <f t="shared" si="0"/>
        <v>471.64499999999998</v>
      </c>
      <c r="AD49" s="13">
        <f t="shared" si="0"/>
        <v>21</v>
      </c>
    </row>
    <row r="50" spans="1:30" ht="15" customHeight="1" x14ac:dyDescent="0.3">
      <c r="A50" s="10">
        <v>39</v>
      </c>
      <c r="B50" s="11" t="s">
        <v>60</v>
      </c>
      <c r="C50" s="12">
        <v>0</v>
      </c>
      <c r="D50" s="13">
        <v>0</v>
      </c>
      <c r="E50" s="14">
        <v>19.725714285714282</v>
      </c>
      <c r="F50" s="15">
        <v>1</v>
      </c>
      <c r="G50" s="14">
        <v>73.755714285714276</v>
      </c>
      <c r="H50" s="15">
        <v>4</v>
      </c>
      <c r="I50" s="12">
        <v>105.99714285714286</v>
      </c>
      <c r="J50" s="13">
        <v>5</v>
      </c>
      <c r="K50" s="12">
        <v>105.99714285714286</v>
      </c>
      <c r="L50" s="13">
        <v>5</v>
      </c>
      <c r="M50" s="12">
        <v>81.52095238095238</v>
      </c>
      <c r="N50" s="13">
        <v>6</v>
      </c>
      <c r="O50" s="12">
        <v>211.08500000000001</v>
      </c>
      <c r="P50" s="13">
        <v>8</v>
      </c>
      <c r="Q50" s="12">
        <v>126.22333333333334</v>
      </c>
      <c r="R50" s="13">
        <v>6</v>
      </c>
      <c r="S50" s="12">
        <v>243.24999999999997</v>
      </c>
      <c r="T50" s="13">
        <v>8</v>
      </c>
      <c r="U50" s="12">
        <v>172.19799999999998</v>
      </c>
      <c r="V50" s="13">
        <v>7</v>
      </c>
      <c r="W50" s="12">
        <v>7.6019999999999994</v>
      </c>
      <c r="X50" s="13">
        <v>1</v>
      </c>
      <c r="Y50" s="14">
        <v>1147.3550000000002</v>
      </c>
      <c r="Z50" s="15">
        <v>51</v>
      </c>
      <c r="AA50" s="12">
        <v>1297.0983333333334</v>
      </c>
      <c r="AB50" s="13">
        <v>52</v>
      </c>
      <c r="AC50" s="12">
        <f t="shared" si="0"/>
        <v>-149.74333333333311</v>
      </c>
      <c r="AD50" s="13">
        <f t="shared" si="0"/>
        <v>-1</v>
      </c>
    </row>
    <row r="51" spans="1:30" x14ac:dyDescent="0.3">
      <c r="A51" s="10">
        <v>40</v>
      </c>
      <c r="B51" s="11" t="s">
        <v>61</v>
      </c>
      <c r="C51" s="12">
        <v>0</v>
      </c>
      <c r="D51" s="13">
        <v>0</v>
      </c>
      <c r="E51" s="14">
        <v>0</v>
      </c>
      <c r="F51" s="15">
        <v>0</v>
      </c>
      <c r="G51" s="14">
        <v>35.125</v>
      </c>
      <c r="H51" s="15">
        <v>3</v>
      </c>
      <c r="I51" s="12">
        <v>50</v>
      </c>
      <c r="J51" s="13">
        <v>3</v>
      </c>
      <c r="K51" s="12">
        <v>50</v>
      </c>
      <c r="L51" s="13">
        <v>3</v>
      </c>
      <c r="M51" s="12">
        <v>150.68666666666667</v>
      </c>
      <c r="N51" s="13">
        <v>7</v>
      </c>
      <c r="O51" s="12">
        <v>152.01666666666665</v>
      </c>
      <c r="P51" s="13">
        <v>9</v>
      </c>
      <c r="Q51" s="12">
        <v>152.33333333333331</v>
      </c>
      <c r="R51" s="13">
        <v>9</v>
      </c>
      <c r="S51" s="12">
        <v>291.01666666666665</v>
      </c>
      <c r="T51" s="13">
        <v>11</v>
      </c>
      <c r="U51" s="12">
        <v>132.83333333333334</v>
      </c>
      <c r="V51" s="13">
        <v>9</v>
      </c>
      <c r="W51" s="12">
        <v>0.66666666666666663</v>
      </c>
      <c r="X51" s="13">
        <v>1</v>
      </c>
      <c r="Y51" s="14">
        <v>1014.6783333333333</v>
      </c>
      <c r="Z51" s="15">
        <v>55</v>
      </c>
      <c r="AA51" s="12">
        <v>1106.1499999999999</v>
      </c>
      <c r="AB51" s="13">
        <v>52</v>
      </c>
      <c r="AC51" s="12">
        <f t="shared" si="0"/>
        <v>-91.471666666666579</v>
      </c>
      <c r="AD51" s="13">
        <f t="shared" si="0"/>
        <v>3</v>
      </c>
    </row>
    <row r="52" spans="1:30" x14ac:dyDescent="0.3">
      <c r="A52" s="10">
        <v>41</v>
      </c>
      <c r="B52" s="11" t="s">
        <v>62</v>
      </c>
      <c r="C52" s="12">
        <v>0</v>
      </c>
      <c r="D52" s="13">
        <v>0</v>
      </c>
      <c r="E52" s="14">
        <v>2.7142857142857144</v>
      </c>
      <c r="F52" s="15">
        <v>1</v>
      </c>
      <c r="G52" s="14">
        <v>108.48571428571429</v>
      </c>
      <c r="H52" s="15">
        <v>5</v>
      </c>
      <c r="I52" s="12">
        <v>108.62857142857142</v>
      </c>
      <c r="J52" s="13">
        <v>5</v>
      </c>
      <c r="K52" s="12">
        <v>108.62857142857142</v>
      </c>
      <c r="L52" s="13">
        <v>5</v>
      </c>
      <c r="M52" s="12">
        <v>47.2</v>
      </c>
      <c r="N52" s="13">
        <v>9</v>
      </c>
      <c r="O52" s="12">
        <v>198.25</v>
      </c>
      <c r="P52" s="13">
        <v>6</v>
      </c>
      <c r="Q52" s="12">
        <v>124.77499999999999</v>
      </c>
      <c r="R52" s="13">
        <v>5</v>
      </c>
      <c r="S52" s="12">
        <v>204.79166666666666</v>
      </c>
      <c r="T52" s="13">
        <v>8</v>
      </c>
      <c r="U52" s="12">
        <v>211</v>
      </c>
      <c r="V52" s="13">
        <v>9</v>
      </c>
      <c r="W52" s="12">
        <v>14</v>
      </c>
      <c r="X52" s="13">
        <v>1</v>
      </c>
      <c r="Y52" s="14">
        <v>1128.4738095238095</v>
      </c>
      <c r="Z52" s="15">
        <v>54</v>
      </c>
      <c r="AA52" s="12">
        <v>791.42499999999995</v>
      </c>
      <c r="AB52" s="13">
        <v>37</v>
      </c>
      <c r="AC52" s="12">
        <f t="shared" si="0"/>
        <v>337.0488095238095</v>
      </c>
      <c r="AD52" s="13">
        <f t="shared" si="0"/>
        <v>17</v>
      </c>
    </row>
    <row r="53" spans="1:30" x14ac:dyDescent="0.3">
      <c r="A53" s="10">
        <v>42</v>
      </c>
      <c r="B53" s="11" t="s">
        <v>63</v>
      </c>
      <c r="C53" s="12">
        <v>0</v>
      </c>
      <c r="D53" s="13">
        <v>0</v>
      </c>
      <c r="E53" s="14">
        <v>17.5</v>
      </c>
      <c r="F53" s="15">
        <v>1</v>
      </c>
      <c r="G53" s="14">
        <v>30.083333333333336</v>
      </c>
      <c r="H53" s="15">
        <v>3</v>
      </c>
      <c r="I53" s="12">
        <v>32.5</v>
      </c>
      <c r="J53" s="13">
        <v>3</v>
      </c>
      <c r="K53" s="12">
        <v>32.5</v>
      </c>
      <c r="L53" s="13">
        <v>3</v>
      </c>
      <c r="M53" s="12">
        <v>82.375</v>
      </c>
      <c r="N53" s="13">
        <v>5</v>
      </c>
      <c r="O53" s="12">
        <v>183.5</v>
      </c>
      <c r="P53" s="13">
        <v>5</v>
      </c>
      <c r="Q53" s="12">
        <v>206.5</v>
      </c>
      <c r="R53" s="13">
        <v>5</v>
      </c>
      <c r="S53" s="12">
        <v>421</v>
      </c>
      <c r="T53" s="13">
        <v>7</v>
      </c>
      <c r="U53" s="12">
        <v>211</v>
      </c>
      <c r="V53" s="13">
        <v>10</v>
      </c>
      <c r="W53" s="12">
        <v>56</v>
      </c>
      <c r="X53" s="13">
        <v>2</v>
      </c>
      <c r="Y53" s="14">
        <v>1272.9583333333335</v>
      </c>
      <c r="Z53" s="15">
        <v>44</v>
      </c>
      <c r="AA53" s="12">
        <v>1442.1458333333335</v>
      </c>
      <c r="AB53" s="13">
        <v>37</v>
      </c>
      <c r="AC53" s="12">
        <f t="shared" si="0"/>
        <v>-169.1875</v>
      </c>
      <c r="AD53" s="13">
        <f t="shared" si="0"/>
        <v>7</v>
      </c>
    </row>
    <row r="54" spans="1:30" ht="21.75" customHeight="1" x14ac:dyDescent="0.3">
      <c r="A54" s="20" t="s">
        <v>64</v>
      </c>
      <c r="B54" s="21"/>
      <c r="C54" s="17">
        <v>0</v>
      </c>
      <c r="D54" s="17">
        <v>0</v>
      </c>
      <c r="E54" s="17">
        <v>8.0084848484848479</v>
      </c>
      <c r="F54" s="17">
        <v>1</v>
      </c>
      <c r="G54" s="17">
        <v>72.541155303030308</v>
      </c>
      <c r="H54" s="17">
        <v>5</v>
      </c>
      <c r="I54" s="17">
        <v>80.76909090909092</v>
      </c>
      <c r="J54" s="17">
        <v>4</v>
      </c>
      <c r="K54" s="17">
        <v>80.76909090909092</v>
      </c>
      <c r="L54" s="17">
        <v>4</v>
      </c>
      <c r="M54" s="17">
        <v>86.018199596774195</v>
      </c>
      <c r="N54" s="17">
        <v>6</v>
      </c>
      <c r="O54" s="17">
        <v>68</v>
      </c>
      <c r="P54" s="18">
        <v>1</v>
      </c>
      <c r="Q54" s="17">
        <v>143.84722924901186</v>
      </c>
      <c r="R54" s="17">
        <v>7</v>
      </c>
      <c r="S54" s="17">
        <v>274.33559194428761</v>
      </c>
      <c r="T54" s="17">
        <v>10</v>
      </c>
      <c r="U54" s="17">
        <v>207.52335664335664</v>
      </c>
      <c r="V54" s="17">
        <v>9</v>
      </c>
      <c r="W54" s="17">
        <v>18.900416666666668</v>
      </c>
      <c r="X54" s="17">
        <v>1</v>
      </c>
      <c r="Y54" s="17">
        <v>1040.712616069794</v>
      </c>
      <c r="Z54" s="17">
        <v>48</v>
      </c>
      <c r="AA54" s="17">
        <v>1095.3016129032258</v>
      </c>
      <c r="AB54" s="18">
        <v>51</v>
      </c>
      <c r="AC54" s="17">
        <f t="shared" si="0"/>
        <v>-54.588996833431793</v>
      </c>
      <c r="AD54" s="18">
        <f t="shared" si="0"/>
        <v>-3</v>
      </c>
    </row>
    <row r="55" spans="1:30" ht="21.6" x14ac:dyDescent="0.3">
      <c r="A55" s="16" t="s">
        <v>65</v>
      </c>
      <c r="B55" s="16"/>
      <c r="C55" s="17">
        <v>0</v>
      </c>
      <c r="D55" s="17">
        <v>0</v>
      </c>
      <c r="E55" s="17">
        <v>9.8336000000000006</v>
      </c>
      <c r="F55" s="17">
        <v>1</v>
      </c>
      <c r="G55" s="17">
        <v>72.049530075187974</v>
      </c>
      <c r="H55" s="17">
        <v>5</v>
      </c>
      <c r="I55" s="17">
        <v>111.60315789473685</v>
      </c>
      <c r="J55" s="17">
        <v>5</v>
      </c>
      <c r="K55" s="17">
        <v>111.60315789473685</v>
      </c>
      <c r="L55" s="17">
        <v>5</v>
      </c>
      <c r="M55" s="17">
        <v>109.63764321789321</v>
      </c>
      <c r="N55" s="17">
        <v>7</v>
      </c>
      <c r="O55" s="17">
        <v>242.64457003546096</v>
      </c>
      <c r="P55" s="18">
        <v>10</v>
      </c>
      <c r="Q55" s="17">
        <v>133.72416847590102</v>
      </c>
      <c r="R55" s="17">
        <v>8</v>
      </c>
      <c r="S55" s="17">
        <v>216.04622037208347</v>
      </c>
      <c r="T55" s="17">
        <v>10</v>
      </c>
      <c r="U55" s="17">
        <v>199.44464989681919</v>
      </c>
      <c r="V55" s="17">
        <v>9</v>
      </c>
      <c r="W55" s="17">
        <v>13.898199999999999</v>
      </c>
      <c r="X55" s="17">
        <v>1</v>
      </c>
      <c r="Y55" s="17">
        <v>1220.4848978628197</v>
      </c>
      <c r="Z55" s="17">
        <v>61</v>
      </c>
      <c r="AA55" s="17">
        <v>1110.2231950801124</v>
      </c>
      <c r="AB55" s="18">
        <v>57</v>
      </c>
      <c r="AC55" s="17">
        <f t="shared" si="0"/>
        <v>110.26170278270729</v>
      </c>
      <c r="AD55" s="18">
        <f t="shared" si="0"/>
        <v>4</v>
      </c>
    </row>
    <row r="56" spans="1:30" x14ac:dyDescent="0.3">
      <c r="A56" s="10">
        <v>43</v>
      </c>
      <c r="B56" s="11" t="s">
        <v>66</v>
      </c>
      <c r="C56" s="12">
        <v>0</v>
      </c>
      <c r="D56" s="13">
        <v>0</v>
      </c>
      <c r="E56" s="14">
        <v>14.5</v>
      </c>
      <c r="F56" s="15">
        <v>2</v>
      </c>
      <c r="G56" s="14">
        <v>107.9</v>
      </c>
      <c r="H56" s="15">
        <v>6</v>
      </c>
      <c r="I56" s="12">
        <v>167.76666666666668</v>
      </c>
      <c r="J56" s="13">
        <v>8</v>
      </c>
      <c r="K56" s="12">
        <v>177.1</v>
      </c>
      <c r="L56" s="13">
        <v>9</v>
      </c>
      <c r="M56" s="12">
        <v>91.966666666666654</v>
      </c>
      <c r="N56" s="13">
        <v>8</v>
      </c>
      <c r="O56" s="12">
        <v>123.33333333333333</v>
      </c>
      <c r="P56" s="13">
        <v>7</v>
      </c>
      <c r="Q56" s="12">
        <v>60.666666666666664</v>
      </c>
      <c r="R56" s="13">
        <v>5</v>
      </c>
      <c r="S56" s="12">
        <v>251.46666666666667</v>
      </c>
      <c r="T56" s="13">
        <v>9.6666666666666661</v>
      </c>
      <c r="U56" s="12">
        <v>96.2</v>
      </c>
      <c r="V56" s="13">
        <v>8</v>
      </c>
      <c r="W56" s="12">
        <v>23.433333333333334</v>
      </c>
      <c r="X56" s="13">
        <v>2</v>
      </c>
      <c r="Y56" s="14">
        <v>1114.3333333333335</v>
      </c>
      <c r="Z56" s="15">
        <v>64.666666666666657</v>
      </c>
      <c r="AA56" s="12">
        <v>746.43333333333328</v>
      </c>
      <c r="AB56" s="13">
        <v>55</v>
      </c>
      <c r="AC56" s="12">
        <f t="shared" si="0"/>
        <v>367.9000000000002</v>
      </c>
      <c r="AD56" s="13">
        <f t="shared" si="0"/>
        <v>9.6666666666666572</v>
      </c>
    </row>
    <row r="57" spans="1:30" x14ac:dyDescent="0.3">
      <c r="A57" s="10">
        <v>44</v>
      </c>
      <c r="B57" s="11" t="s">
        <v>67</v>
      </c>
      <c r="C57" s="12">
        <v>0</v>
      </c>
      <c r="D57" s="13">
        <v>0</v>
      </c>
      <c r="E57" s="14">
        <v>13.566666666666668</v>
      </c>
      <c r="F57" s="15">
        <v>2</v>
      </c>
      <c r="G57" s="14">
        <v>121.23333333333333</v>
      </c>
      <c r="H57" s="15">
        <v>6</v>
      </c>
      <c r="I57" s="12">
        <v>147.03333333333333</v>
      </c>
      <c r="J57" s="13">
        <v>8</v>
      </c>
      <c r="K57" s="12">
        <v>166.29999999999998</v>
      </c>
      <c r="L57" s="13">
        <v>8</v>
      </c>
      <c r="M57" s="12">
        <v>108.23333333333335</v>
      </c>
      <c r="N57" s="13">
        <v>10</v>
      </c>
      <c r="O57" s="12">
        <v>178.43333333333331</v>
      </c>
      <c r="P57" s="13">
        <v>7</v>
      </c>
      <c r="Q57" s="12">
        <v>74.899999999999991</v>
      </c>
      <c r="R57" s="13">
        <v>6</v>
      </c>
      <c r="S57" s="12">
        <v>206.69999999999996</v>
      </c>
      <c r="T57" s="13">
        <v>5.666666666666667</v>
      </c>
      <c r="U57" s="12">
        <v>129.46666666666664</v>
      </c>
      <c r="V57" s="13">
        <v>7</v>
      </c>
      <c r="W57" s="12">
        <v>25.366666666666664</v>
      </c>
      <c r="X57" s="13">
        <v>1.3333333333333333</v>
      </c>
      <c r="Y57" s="14">
        <v>1171.2333333333331</v>
      </c>
      <c r="Z57" s="15">
        <v>61</v>
      </c>
      <c r="AA57" s="12">
        <v>873.9666666666667</v>
      </c>
      <c r="AB57" s="13">
        <v>45</v>
      </c>
      <c r="AC57" s="12">
        <f t="shared" si="0"/>
        <v>297.26666666666642</v>
      </c>
      <c r="AD57" s="13">
        <f t="shared" si="0"/>
        <v>16</v>
      </c>
    </row>
    <row r="58" spans="1:30" x14ac:dyDescent="0.3">
      <c r="A58" s="10">
        <v>45</v>
      </c>
      <c r="B58" s="11" t="s">
        <v>68</v>
      </c>
      <c r="C58" s="12">
        <v>0</v>
      </c>
      <c r="D58" s="13">
        <v>0</v>
      </c>
      <c r="E58" s="14">
        <v>21.333333333333332</v>
      </c>
      <c r="F58" s="15">
        <v>3</v>
      </c>
      <c r="G58" s="14">
        <v>129.66666666666666</v>
      </c>
      <c r="H58" s="15">
        <v>7</v>
      </c>
      <c r="I58" s="12">
        <v>144.66666666666666</v>
      </c>
      <c r="J58" s="13">
        <v>7</v>
      </c>
      <c r="K58" s="12">
        <v>168</v>
      </c>
      <c r="L58" s="13">
        <v>10</v>
      </c>
      <c r="M58" s="12">
        <v>131.66666666666666</v>
      </c>
      <c r="N58" s="13">
        <v>11</v>
      </c>
      <c r="O58" s="12">
        <v>77.166666666666671</v>
      </c>
      <c r="P58" s="13">
        <v>8</v>
      </c>
      <c r="Q58" s="12">
        <v>114.33333333333333</v>
      </c>
      <c r="R58" s="13">
        <v>10</v>
      </c>
      <c r="S58" s="12">
        <v>156.91666666666666</v>
      </c>
      <c r="T58" s="13">
        <v>8.3333333333333339</v>
      </c>
      <c r="U58" s="12">
        <v>179.66666666666666</v>
      </c>
      <c r="V58" s="13">
        <v>9</v>
      </c>
      <c r="W58" s="12">
        <v>14.666666666666666</v>
      </c>
      <c r="X58" s="13">
        <v>2</v>
      </c>
      <c r="Y58" s="14">
        <v>1138.0833333333333</v>
      </c>
      <c r="Z58" s="15">
        <v>75.333333333333329</v>
      </c>
      <c r="AA58" s="12">
        <v>802.1427083333333</v>
      </c>
      <c r="AB58" s="13">
        <v>55</v>
      </c>
      <c r="AC58" s="12">
        <f t="shared" si="0"/>
        <v>335.94062499999995</v>
      </c>
      <c r="AD58" s="13">
        <f t="shared" si="0"/>
        <v>20.333333333333329</v>
      </c>
    </row>
    <row r="59" spans="1:30" x14ac:dyDescent="0.3">
      <c r="A59" s="10">
        <v>46</v>
      </c>
      <c r="B59" s="11" t="s">
        <v>69</v>
      </c>
      <c r="C59" s="12">
        <v>0</v>
      </c>
      <c r="D59" s="13">
        <v>0</v>
      </c>
      <c r="E59" s="14">
        <v>42</v>
      </c>
      <c r="F59" s="15">
        <v>2</v>
      </c>
      <c r="G59" s="14">
        <v>79.650000000000006</v>
      </c>
      <c r="H59" s="15">
        <v>4</v>
      </c>
      <c r="I59" s="12">
        <v>137.5</v>
      </c>
      <c r="J59" s="13">
        <v>6</v>
      </c>
      <c r="K59" s="12">
        <v>177.7</v>
      </c>
      <c r="L59" s="13">
        <v>10</v>
      </c>
      <c r="M59" s="12">
        <v>143.15</v>
      </c>
      <c r="N59" s="13">
        <v>12</v>
      </c>
      <c r="O59" s="12">
        <v>92.15</v>
      </c>
      <c r="P59" s="13">
        <v>9</v>
      </c>
      <c r="Q59" s="12">
        <v>122.65</v>
      </c>
      <c r="R59" s="13">
        <v>8</v>
      </c>
      <c r="S59" s="12">
        <v>248.6</v>
      </c>
      <c r="T59" s="13">
        <v>10.5</v>
      </c>
      <c r="U59" s="12">
        <v>202.85</v>
      </c>
      <c r="V59" s="13">
        <v>10.5</v>
      </c>
      <c r="W59" s="12">
        <v>24.05</v>
      </c>
      <c r="X59" s="13">
        <v>2</v>
      </c>
      <c r="Y59" s="14">
        <v>1270.2999999999997</v>
      </c>
      <c r="Z59" s="15">
        <v>74</v>
      </c>
      <c r="AA59" s="12">
        <v>975.25000000000011</v>
      </c>
      <c r="AB59" s="13">
        <v>53</v>
      </c>
      <c r="AC59" s="12">
        <f t="shared" si="0"/>
        <v>295.04999999999961</v>
      </c>
      <c r="AD59" s="13">
        <f t="shared" si="0"/>
        <v>21</v>
      </c>
    </row>
    <row r="60" spans="1:30" x14ac:dyDescent="0.3">
      <c r="A60" s="10">
        <v>47</v>
      </c>
      <c r="B60" s="11" t="s">
        <v>70</v>
      </c>
      <c r="C60" s="12">
        <v>1.6666666666666667</v>
      </c>
      <c r="D60" s="13">
        <v>1</v>
      </c>
      <c r="E60" s="14">
        <v>41.300000000000004</v>
      </c>
      <c r="F60" s="15">
        <v>3</v>
      </c>
      <c r="G60" s="14">
        <v>114.13333333333333</v>
      </c>
      <c r="H60" s="15">
        <v>5</v>
      </c>
      <c r="I60" s="12">
        <v>140.29999999999998</v>
      </c>
      <c r="J60" s="13">
        <v>7</v>
      </c>
      <c r="K60" s="12">
        <v>241.86666666666667</v>
      </c>
      <c r="L60" s="13">
        <v>11</v>
      </c>
      <c r="M60" s="12">
        <v>85.100000000000009</v>
      </c>
      <c r="N60" s="13">
        <v>10</v>
      </c>
      <c r="O60" s="12">
        <v>110.89999999999999</v>
      </c>
      <c r="P60" s="13">
        <v>10</v>
      </c>
      <c r="Q60" s="12">
        <v>55.4</v>
      </c>
      <c r="R60" s="13">
        <v>7</v>
      </c>
      <c r="S60" s="12">
        <v>211</v>
      </c>
      <c r="T60" s="13">
        <v>9</v>
      </c>
      <c r="U60" s="12">
        <v>137</v>
      </c>
      <c r="V60" s="13">
        <v>10</v>
      </c>
      <c r="W60" s="12">
        <v>28</v>
      </c>
      <c r="X60" s="13">
        <v>2</v>
      </c>
      <c r="Y60" s="14">
        <v>1166.6666666666665</v>
      </c>
      <c r="Z60" s="15">
        <v>75</v>
      </c>
      <c r="AA60" s="12">
        <v>993.69999999999993</v>
      </c>
      <c r="AB60" s="13">
        <v>52.666666666666671</v>
      </c>
      <c r="AC60" s="12">
        <f t="shared" si="0"/>
        <v>172.96666666666658</v>
      </c>
      <c r="AD60" s="13">
        <f t="shared" si="0"/>
        <v>22.333333333333329</v>
      </c>
    </row>
    <row r="61" spans="1:30" x14ac:dyDescent="0.3">
      <c r="A61" s="10">
        <v>48</v>
      </c>
      <c r="B61" s="11" t="s">
        <v>71</v>
      </c>
      <c r="C61" s="12">
        <v>0</v>
      </c>
      <c r="D61" s="13">
        <v>0</v>
      </c>
      <c r="E61" s="14">
        <v>5.6</v>
      </c>
      <c r="F61" s="15">
        <v>1</v>
      </c>
      <c r="G61" s="14">
        <v>116</v>
      </c>
      <c r="H61" s="15">
        <v>6</v>
      </c>
      <c r="I61" s="12">
        <v>178.6</v>
      </c>
      <c r="J61" s="13">
        <v>7</v>
      </c>
      <c r="K61" s="12">
        <v>145.15</v>
      </c>
      <c r="L61" s="13">
        <v>10</v>
      </c>
      <c r="M61" s="12">
        <v>35.900000000000006</v>
      </c>
      <c r="N61" s="13">
        <v>9</v>
      </c>
      <c r="O61" s="12">
        <v>172.45</v>
      </c>
      <c r="P61" s="13">
        <v>9</v>
      </c>
      <c r="Q61" s="12">
        <v>64</v>
      </c>
      <c r="R61" s="13">
        <v>7</v>
      </c>
      <c r="S61" s="12">
        <v>192</v>
      </c>
      <c r="T61" s="13">
        <v>11</v>
      </c>
      <c r="U61" s="12">
        <v>104</v>
      </c>
      <c r="V61" s="13">
        <v>10</v>
      </c>
      <c r="W61" s="12">
        <v>17.05</v>
      </c>
      <c r="X61" s="13">
        <v>1.5</v>
      </c>
      <c r="Y61" s="14">
        <v>1030.75</v>
      </c>
      <c r="Z61" s="15">
        <v>71.5</v>
      </c>
      <c r="AA61" s="12">
        <v>884.13333333333333</v>
      </c>
      <c r="AB61" s="13">
        <v>56</v>
      </c>
      <c r="AC61" s="12">
        <f t="shared" si="0"/>
        <v>146.61666666666667</v>
      </c>
      <c r="AD61" s="13">
        <f t="shared" si="0"/>
        <v>15.5</v>
      </c>
    </row>
    <row r="62" spans="1:30" ht="20.25" customHeight="1" x14ac:dyDescent="0.3">
      <c r="A62" s="16" t="s">
        <v>72</v>
      </c>
      <c r="B62" s="16"/>
      <c r="C62" s="12">
        <v>0.45454545454545453</v>
      </c>
      <c r="D62" s="13">
        <v>1</v>
      </c>
      <c r="E62" s="14">
        <v>19.936363636363634</v>
      </c>
      <c r="F62" s="15">
        <v>3</v>
      </c>
      <c r="G62" s="14">
        <v>115.62727272727273</v>
      </c>
      <c r="H62" s="15">
        <v>6</v>
      </c>
      <c r="I62" s="12">
        <v>156.59090909090909</v>
      </c>
      <c r="J62" s="13">
        <v>8</v>
      </c>
      <c r="K62" s="12">
        <v>186.0090909090909</v>
      </c>
      <c r="L62" s="13">
        <v>11</v>
      </c>
      <c r="M62" s="12">
        <v>84.336363636363643</v>
      </c>
      <c r="N62" s="13">
        <v>10</v>
      </c>
      <c r="O62" s="12">
        <v>148.28818181818181</v>
      </c>
      <c r="P62" s="13">
        <v>9</v>
      </c>
      <c r="Q62" s="12">
        <v>64.11727272727272</v>
      </c>
      <c r="R62" s="13">
        <v>8</v>
      </c>
      <c r="S62" s="12">
        <v>174.14545454545456</v>
      </c>
      <c r="T62" s="13">
        <v>7</v>
      </c>
      <c r="U62" s="12">
        <v>117.07272727272726</v>
      </c>
      <c r="V62" s="13">
        <v>9</v>
      </c>
      <c r="W62" s="12">
        <v>23.954545454545453</v>
      </c>
      <c r="X62" s="13">
        <v>2</v>
      </c>
      <c r="Y62" s="14">
        <v>1090.5327272727272</v>
      </c>
      <c r="Z62" s="15">
        <v>74</v>
      </c>
      <c r="AA62" s="17">
        <v>938.03616264454502</v>
      </c>
      <c r="AB62" s="18">
        <v>66</v>
      </c>
      <c r="AC62" s="17">
        <f t="shared" si="0"/>
        <v>152.49656462818223</v>
      </c>
      <c r="AD62" s="18">
        <f t="shared" si="0"/>
        <v>8</v>
      </c>
    </row>
    <row r="63" spans="1:30" x14ac:dyDescent="0.3">
      <c r="A63" s="10">
        <v>49</v>
      </c>
      <c r="B63" s="11" t="s">
        <v>73</v>
      </c>
      <c r="C63" s="12">
        <v>13.74375</v>
      </c>
      <c r="D63" s="13">
        <v>0.625</v>
      </c>
      <c r="E63" s="14">
        <v>22.725000000000001</v>
      </c>
      <c r="F63" s="15">
        <v>1</v>
      </c>
      <c r="G63" s="14">
        <v>163.9375</v>
      </c>
      <c r="H63" s="15">
        <v>4</v>
      </c>
      <c r="I63" s="12">
        <v>112.35000000000001</v>
      </c>
      <c r="J63" s="13">
        <v>7</v>
      </c>
      <c r="K63" s="12">
        <v>82.262500000000003</v>
      </c>
      <c r="L63" s="13">
        <v>6</v>
      </c>
      <c r="M63" s="12">
        <v>118.13749999999999</v>
      </c>
      <c r="N63" s="13">
        <v>6</v>
      </c>
      <c r="O63" s="12">
        <v>165.53750000000002</v>
      </c>
      <c r="P63" s="13">
        <v>7</v>
      </c>
      <c r="Q63" s="12">
        <v>68.612499999999997</v>
      </c>
      <c r="R63" s="13">
        <v>5</v>
      </c>
      <c r="S63" s="12">
        <v>190.95</v>
      </c>
      <c r="T63" s="13">
        <v>10</v>
      </c>
      <c r="U63" s="12">
        <v>179.44499999999999</v>
      </c>
      <c r="V63" s="13">
        <v>10</v>
      </c>
      <c r="W63" s="12">
        <v>16.8125</v>
      </c>
      <c r="X63" s="13">
        <v>2</v>
      </c>
      <c r="Y63" s="14">
        <v>1134.5137499999998</v>
      </c>
      <c r="Z63" s="15">
        <v>58.625</v>
      </c>
      <c r="AA63" s="12">
        <v>955.31124999999997</v>
      </c>
      <c r="AB63" s="13">
        <v>60</v>
      </c>
      <c r="AC63" s="12">
        <f t="shared" si="0"/>
        <v>179.20249999999987</v>
      </c>
      <c r="AD63" s="13">
        <f t="shared" si="0"/>
        <v>-1.375</v>
      </c>
    </row>
    <row r="64" spans="1:30" x14ac:dyDescent="0.3">
      <c r="A64" s="10">
        <v>50</v>
      </c>
      <c r="B64" s="11" t="s">
        <v>74</v>
      </c>
      <c r="C64" s="12">
        <v>25</v>
      </c>
      <c r="D64" s="13">
        <v>1</v>
      </c>
      <c r="E64" s="14">
        <v>11.833333333333334</v>
      </c>
      <c r="F64" s="15">
        <v>1</v>
      </c>
      <c r="G64" s="14">
        <v>65.86666666666666</v>
      </c>
      <c r="H64" s="15">
        <v>5</v>
      </c>
      <c r="I64" s="12">
        <v>172</v>
      </c>
      <c r="J64" s="13">
        <v>11</v>
      </c>
      <c r="K64" s="12">
        <v>86.583333333333329</v>
      </c>
      <c r="L64" s="13">
        <v>6</v>
      </c>
      <c r="M64" s="12">
        <v>78.416666666666657</v>
      </c>
      <c r="N64" s="13">
        <v>5</v>
      </c>
      <c r="O64" s="12">
        <v>208.66666666666666</v>
      </c>
      <c r="P64" s="13">
        <v>10</v>
      </c>
      <c r="Q64" s="12">
        <v>83.666666666666671</v>
      </c>
      <c r="R64" s="13">
        <v>6</v>
      </c>
      <c r="S64" s="12">
        <v>162.91666666666669</v>
      </c>
      <c r="T64" s="13">
        <v>11</v>
      </c>
      <c r="U64" s="12">
        <v>146.83333333333334</v>
      </c>
      <c r="V64" s="13">
        <v>11</v>
      </c>
      <c r="W64" s="12">
        <v>22.833333333333332</v>
      </c>
      <c r="X64" s="13">
        <v>2</v>
      </c>
      <c r="Y64" s="14">
        <v>1064.6166666666663</v>
      </c>
      <c r="Z64" s="15">
        <v>69</v>
      </c>
      <c r="AA64" s="12">
        <v>1113.0499999999997</v>
      </c>
      <c r="AB64" s="13">
        <v>69</v>
      </c>
      <c r="AC64" s="12">
        <f t="shared" si="0"/>
        <v>-48.433333333333394</v>
      </c>
      <c r="AD64" s="13">
        <f t="shared" si="0"/>
        <v>0</v>
      </c>
    </row>
    <row r="65" spans="1:30" x14ac:dyDescent="0.3">
      <c r="A65" s="10">
        <v>51</v>
      </c>
      <c r="B65" s="11" t="s">
        <v>75</v>
      </c>
      <c r="C65" s="12">
        <v>0</v>
      </c>
      <c r="D65" s="13">
        <v>0</v>
      </c>
      <c r="E65" s="14">
        <v>3.22</v>
      </c>
      <c r="F65" s="15">
        <v>1</v>
      </c>
      <c r="G65" s="14">
        <v>44.3</v>
      </c>
      <c r="H65" s="15">
        <v>4</v>
      </c>
      <c r="I65" s="12">
        <v>151.98000000000002</v>
      </c>
      <c r="J65" s="13">
        <v>9</v>
      </c>
      <c r="K65" s="12">
        <v>91.440000000000012</v>
      </c>
      <c r="L65" s="13">
        <v>6</v>
      </c>
      <c r="M65" s="12">
        <v>30.799999999999997</v>
      </c>
      <c r="N65" s="13">
        <v>4</v>
      </c>
      <c r="O65" s="12">
        <v>135.28</v>
      </c>
      <c r="P65" s="13">
        <v>8</v>
      </c>
      <c r="Q65" s="12">
        <v>75.86</v>
      </c>
      <c r="R65" s="13">
        <v>6</v>
      </c>
      <c r="S65" s="12">
        <v>142.19999999999999</v>
      </c>
      <c r="T65" s="13">
        <v>8</v>
      </c>
      <c r="U65" s="12">
        <v>119.60000000000001</v>
      </c>
      <c r="V65" s="13">
        <v>9</v>
      </c>
      <c r="W65" s="12">
        <v>15.02</v>
      </c>
      <c r="X65" s="13">
        <v>1</v>
      </c>
      <c r="Y65" s="14">
        <v>809.69999999999993</v>
      </c>
      <c r="Z65" s="15">
        <v>56</v>
      </c>
      <c r="AA65" s="12">
        <v>859.90000000000009</v>
      </c>
      <c r="AB65" s="13">
        <v>54</v>
      </c>
      <c r="AC65" s="12">
        <f t="shared" si="0"/>
        <v>-50.200000000000159</v>
      </c>
      <c r="AD65" s="13">
        <f t="shared" si="0"/>
        <v>2</v>
      </c>
    </row>
    <row r="66" spans="1:30" x14ac:dyDescent="0.3">
      <c r="A66" s="10">
        <v>52</v>
      </c>
      <c r="B66" s="11" t="s">
        <v>76</v>
      </c>
      <c r="C66" s="12">
        <v>0</v>
      </c>
      <c r="D66" s="13">
        <v>0</v>
      </c>
      <c r="E66" s="14">
        <v>5.5714285714285712</v>
      </c>
      <c r="F66" s="15">
        <v>1</v>
      </c>
      <c r="G66" s="14">
        <v>45.257142857142853</v>
      </c>
      <c r="H66" s="15">
        <v>3</v>
      </c>
      <c r="I66" s="12">
        <v>127.75714285714287</v>
      </c>
      <c r="J66" s="13">
        <v>9</v>
      </c>
      <c r="K66" s="12">
        <v>90.771428571428572</v>
      </c>
      <c r="L66" s="13">
        <v>8</v>
      </c>
      <c r="M66" s="12">
        <v>130.15714285714284</v>
      </c>
      <c r="N66" s="13">
        <v>9</v>
      </c>
      <c r="O66" s="12">
        <v>200.8</v>
      </c>
      <c r="P66" s="13">
        <v>14</v>
      </c>
      <c r="Q66" s="12">
        <v>80.714285714285708</v>
      </c>
      <c r="R66" s="13">
        <v>6</v>
      </c>
      <c r="S66" s="12">
        <v>164.92857142857144</v>
      </c>
      <c r="T66" s="13">
        <v>10</v>
      </c>
      <c r="U66" s="12">
        <v>106.94285714285715</v>
      </c>
      <c r="V66" s="13">
        <v>9</v>
      </c>
      <c r="W66" s="12">
        <v>11.214285714285714</v>
      </c>
      <c r="X66" s="13">
        <v>1</v>
      </c>
      <c r="Y66" s="14">
        <v>964.11428571428564</v>
      </c>
      <c r="Z66" s="15">
        <v>70</v>
      </c>
      <c r="AA66" s="12">
        <v>993.51428571428562</v>
      </c>
      <c r="AB66" s="13">
        <v>80</v>
      </c>
      <c r="AC66" s="12">
        <f t="shared" si="0"/>
        <v>-29.399999999999977</v>
      </c>
      <c r="AD66" s="13">
        <f t="shared" si="0"/>
        <v>-10</v>
      </c>
    </row>
    <row r="67" spans="1:30" x14ac:dyDescent="0.3">
      <c r="A67" s="10">
        <v>53</v>
      </c>
      <c r="B67" s="11" t="s">
        <v>77</v>
      </c>
      <c r="C67" s="12">
        <v>0</v>
      </c>
      <c r="D67" s="13">
        <v>0</v>
      </c>
      <c r="E67" s="14">
        <v>15.275</v>
      </c>
      <c r="F67" s="15">
        <v>1</v>
      </c>
      <c r="G67" s="14">
        <v>63.400000000000006</v>
      </c>
      <c r="H67" s="15">
        <v>5</v>
      </c>
      <c r="I67" s="12">
        <v>86.875</v>
      </c>
      <c r="J67" s="13">
        <v>6</v>
      </c>
      <c r="K67" s="12">
        <v>79.625</v>
      </c>
      <c r="L67" s="13">
        <v>7</v>
      </c>
      <c r="M67" s="12">
        <v>58.325000000000003</v>
      </c>
      <c r="N67" s="13">
        <v>5</v>
      </c>
      <c r="O67" s="12">
        <v>101.125</v>
      </c>
      <c r="P67" s="13">
        <v>7</v>
      </c>
      <c r="Q67" s="12">
        <v>85</v>
      </c>
      <c r="R67" s="13">
        <v>5</v>
      </c>
      <c r="S67" s="12">
        <v>88.55</v>
      </c>
      <c r="T67" s="13">
        <v>8</v>
      </c>
      <c r="U67" s="12">
        <v>138.25</v>
      </c>
      <c r="V67" s="13">
        <v>8</v>
      </c>
      <c r="W67" s="12">
        <v>0</v>
      </c>
      <c r="X67" s="13">
        <v>0</v>
      </c>
      <c r="Y67" s="14">
        <v>716.42499999999995</v>
      </c>
      <c r="Z67" s="15">
        <v>52</v>
      </c>
      <c r="AA67" s="12">
        <v>586.25</v>
      </c>
      <c r="AB67" s="13">
        <v>105</v>
      </c>
      <c r="AC67" s="12">
        <f t="shared" si="0"/>
        <v>130.17499999999995</v>
      </c>
      <c r="AD67" s="13">
        <f t="shared" si="0"/>
        <v>-53</v>
      </c>
    </row>
    <row r="68" spans="1:30" x14ac:dyDescent="0.3">
      <c r="A68" s="10">
        <v>54</v>
      </c>
      <c r="B68" s="11" t="s">
        <v>78</v>
      </c>
      <c r="C68" s="12">
        <v>0</v>
      </c>
      <c r="D68" s="13">
        <v>0</v>
      </c>
      <c r="E68" s="14">
        <v>6.6</v>
      </c>
      <c r="F68" s="15">
        <v>1</v>
      </c>
      <c r="G68" s="14">
        <v>49.74</v>
      </c>
      <c r="H68" s="15">
        <v>4</v>
      </c>
      <c r="I68" s="12">
        <v>129.06</v>
      </c>
      <c r="J68" s="13">
        <v>8</v>
      </c>
      <c r="K68" s="12">
        <v>77.3</v>
      </c>
      <c r="L68" s="13">
        <v>6</v>
      </c>
      <c r="M68" s="12">
        <v>88.38</v>
      </c>
      <c r="N68" s="13">
        <v>5</v>
      </c>
      <c r="O68" s="12">
        <v>208.33999999999997</v>
      </c>
      <c r="P68" s="13">
        <v>8</v>
      </c>
      <c r="Q68" s="12">
        <v>79.099999999999994</v>
      </c>
      <c r="R68" s="13">
        <v>6</v>
      </c>
      <c r="S68" s="12">
        <v>160.60000000000002</v>
      </c>
      <c r="T68" s="13">
        <v>9</v>
      </c>
      <c r="U68" s="12">
        <v>158.1</v>
      </c>
      <c r="V68" s="13">
        <v>10</v>
      </c>
      <c r="W68" s="12">
        <v>3.6</v>
      </c>
      <c r="X68" s="13">
        <v>1</v>
      </c>
      <c r="Y68" s="14">
        <v>960.82</v>
      </c>
      <c r="Z68" s="15">
        <v>58</v>
      </c>
      <c r="AA68" s="12">
        <v>997.38</v>
      </c>
      <c r="AB68" s="13">
        <v>50</v>
      </c>
      <c r="AC68" s="12">
        <f t="shared" si="0"/>
        <v>-36.559999999999945</v>
      </c>
      <c r="AD68" s="13">
        <f t="shared" si="0"/>
        <v>8</v>
      </c>
    </row>
    <row r="69" spans="1:30" ht="22.5" customHeight="1" x14ac:dyDescent="0.3">
      <c r="A69" s="16" t="s">
        <v>79</v>
      </c>
      <c r="B69" s="16"/>
      <c r="C69" s="17">
        <v>7.427142857142857</v>
      </c>
      <c r="D69" s="17">
        <v>1</v>
      </c>
      <c r="E69" s="17">
        <v>11.485714285714286</v>
      </c>
      <c r="F69" s="17">
        <v>1</v>
      </c>
      <c r="G69" s="17">
        <v>89.765714285714296</v>
      </c>
      <c r="H69" s="17">
        <v>5</v>
      </c>
      <c r="I69" s="17">
        <v>130.79428571428571</v>
      </c>
      <c r="J69" s="17">
        <v>9</v>
      </c>
      <c r="K69" s="17">
        <v>85.005714285714276</v>
      </c>
      <c r="L69" s="17">
        <v>6</v>
      </c>
      <c r="M69" s="17">
        <v>90.168571428571425</v>
      </c>
      <c r="N69" s="17">
        <v>6</v>
      </c>
      <c r="O69" s="17">
        <v>174.41428571428571</v>
      </c>
      <c r="P69" s="18">
        <v>9</v>
      </c>
      <c r="Q69" s="17">
        <v>78.02</v>
      </c>
      <c r="R69" s="17">
        <v>6</v>
      </c>
      <c r="S69" s="17">
        <v>157.93714285714285</v>
      </c>
      <c r="T69" s="17">
        <v>10</v>
      </c>
      <c r="U69" s="17">
        <v>143.04742857142858</v>
      </c>
      <c r="V69" s="17">
        <v>10</v>
      </c>
      <c r="W69" s="17">
        <v>12.66</v>
      </c>
      <c r="X69" s="17">
        <v>1</v>
      </c>
      <c r="Y69" s="17">
        <v>980.72599999999989</v>
      </c>
      <c r="Z69" s="17">
        <v>64</v>
      </c>
      <c r="AA69" s="17">
        <v>940.19399999999985</v>
      </c>
      <c r="AB69" s="18">
        <v>76</v>
      </c>
      <c r="AC69" s="17">
        <f t="shared" si="0"/>
        <v>40.532000000000039</v>
      </c>
      <c r="AD69" s="18">
        <f t="shared" si="0"/>
        <v>-12</v>
      </c>
    </row>
    <row r="70" spans="1:30" ht="22.5" customHeight="1" x14ac:dyDescent="0.3">
      <c r="A70" s="16" t="s">
        <v>80</v>
      </c>
      <c r="B70" s="16"/>
      <c r="C70" s="17">
        <v>5.7597826086956516</v>
      </c>
      <c r="D70" s="17">
        <v>1</v>
      </c>
      <c r="E70" s="17">
        <v>13.506521739130436</v>
      </c>
      <c r="F70" s="17">
        <v>2</v>
      </c>
      <c r="G70" s="17">
        <v>95.95</v>
      </c>
      <c r="H70" s="17">
        <v>6</v>
      </c>
      <c r="I70" s="17">
        <v>136.96304347826089</v>
      </c>
      <c r="J70" s="17">
        <v>9</v>
      </c>
      <c r="K70" s="17">
        <v>109.1586956521739</v>
      </c>
      <c r="L70" s="17">
        <v>8</v>
      </c>
      <c r="M70" s="17">
        <v>88.77391304347826</v>
      </c>
      <c r="N70" s="17">
        <v>8</v>
      </c>
      <c r="O70" s="17">
        <v>168.1023188405797</v>
      </c>
      <c r="P70" s="18">
        <v>10</v>
      </c>
      <c r="Q70" s="17">
        <v>75.193816425120772</v>
      </c>
      <c r="R70" s="17">
        <v>6</v>
      </c>
      <c r="S70" s="17">
        <v>173.34739130434784</v>
      </c>
      <c r="T70" s="17">
        <v>9.7333333333333343</v>
      </c>
      <c r="U70" s="17">
        <v>136.83608695652174</v>
      </c>
      <c r="V70" s="17">
        <v>10</v>
      </c>
      <c r="W70" s="17">
        <v>15.360869565217392</v>
      </c>
      <c r="X70" s="17">
        <v>2</v>
      </c>
      <c r="Y70" s="17">
        <v>1018.9524396135266</v>
      </c>
      <c r="Z70" s="17">
        <v>71.733333333333334</v>
      </c>
      <c r="AA70" s="17">
        <v>936.98953118664008</v>
      </c>
      <c r="AB70" s="18">
        <v>72</v>
      </c>
      <c r="AC70" s="17">
        <f t="shared" ref="AC70:AD100" si="1">+Y70-AA70</f>
        <v>81.962908426886543</v>
      </c>
      <c r="AD70" s="18">
        <f t="shared" si="1"/>
        <v>-0.26666666666666572</v>
      </c>
    </row>
    <row r="71" spans="1:30" x14ac:dyDescent="0.3">
      <c r="A71" s="10">
        <v>55</v>
      </c>
      <c r="B71" s="11" t="s">
        <v>81</v>
      </c>
      <c r="C71" s="12">
        <v>0</v>
      </c>
      <c r="D71" s="13">
        <v>0</v>
      </c>
      <c r="E71" s="14">
        <v>5</v>
      </c>
      <c r="F71" s="15">
        <v>1.5</v>
      </c>
      <c r="G71" s="14">
        <v>138</v>
      </c>
      <c r="H71" s="15">
        <v>7.5</v>
      </c>
      <c r="I71" s="12">
        <v>133.5</v>
      </c>
      <c r="J71" s="13">
        <v>8</v>
      </c>
      <c r="K71" s="12">
        <v>170.65</v>
      </c>
      <c r="L71" s="13">
        <v>9.5</v>
      </c>
      <c r="M71" s="12">
        <v>261.75</v>
      </c>
      <c r="N71" s="13">
        <v>11.5</v>
      </c>
      <c r="O71" s="12">
        <v>245.875</v>
      </c>
      <c r="P71" s="13">
        <v>9.5</v>
      </c>
      <c r="Q71" s="12">
        <v>31.5</v>
      </c>
      <c r="R71" s="13">
        <v>6</v>
      </c>
      <c r="S71" s="12">
        <v>303.89999999999998</v>
      </c>
      <c r="T71" s="13">
        <v>12.5</v>
      </c>
      <c r="U71" s="12">
        <v>198.75</v>
      </c>
      <c r="V71" s="13">
        <v>10.5</v>
      </c>
      <c r="W71" s="12">
        <v>65.55</v>
      </c>
      <c r="X71" s="13">
        <v>3</v>
      </c>
      <c r="Y71" s="14">
        <v>1554.4749999999999</v>
      </c>
      <c r="Z71" s="15">
        <v>79.5</v>
      </c>
      <c r="AA71" s="12">
        <v>1372.25</v>
      </c>
      <c r="AB71" s="13">
        <v>70</v>
      </c>
      <c r="AC71" s="12">
        <f t="shared" si="1"/>
        <v>182.22499999999991</v>
      </c>
      <c r="AD71" s="13">
        <f t="shared" si="1"/>
        <v>9.5</v>
      </c>
    </row>
    <row r="72" spans="1:30" x14ac:dyDescent="0.3">
      <c r="A72" s="10">
        <v>56</v>
      </c>
      <c r="B72" s="11" t="s">
        <v>82</v>
      </c>
      <c r="C72" s="12">
        <v>0</v>
      </c>
      <c r="D72" s="13">
        <v>0</v>
      </c>
      <c r="E72" s="14">
        <v>26.5</v>
      </c>
      <c r="F72" s="15">
        <v>2.3333333333333335</v>
      </c>
      <c r="G72" s="14">
        <v>104.03333333333335</v>
      </c>
      <c r="H72" s="15">
        <v>7.666666666666667</v>
      </c>
      <c r="I72" s="12">
        <v>141.13333333333333</v>
      </c>
      <c r="J72" s="13">
        <v>8.3333333333333339</v>
      </c>
      <c r="K72" s="12">
        <v>146.29999999999998</v>
      </c>
      <c r="L72" s="13">
        <v>10.666666666666666</v>
      </c>
      <c r="M72" s="12">
        <v>159.4</v>
      </c>
      <c r="N72" s="13">
        <v>10.666666666666666</v>
      </c>
      <c r="O72" s="12">
        <v>279.43333333333334</v>
      </c>
      <c r="P72" s="13">
        <v>13.333333333333334</v>
      </c>
      <c r="Q72" s="12">
        <v>77.333333333333329</v>
      </c>
      <c r="R72" s="13">
        <v>6.333333333333333</v>
      </c>
      <c r="S72" s="12">
        <v>221.43333333333331</v>
      </c>
      <c r="T72" s="13">
        <v>13.666666666666666</v>
      </c>
      <c r="U72" s="12">
        <v>91.466666666666654</v>
      </c>
      <c r="V72" s="13">
        <v>7</v>
      </c>
      <c r="W72" s="12">
        <v>5.3</v>
      </c>
      <c r="X72" s="13">
        <v>2</v>
      </c>
      <c r="Y72" s="14">
        <v>1252.3333333333333</v>
      </c>
      <c r="Z72" s="15">
        <v>82</v>
      </c>
      <c r="AA72" s="12">
        <v>1035.2666666666669</v>
      </c>
      <c r="AB72" s="13">
        <v>67.333333333333329</v>
      </c>
      <c r="AC72" s="12">
        <f t="shared" si="1"/>
        <v>217.06666666666638</v>
      </c>
      <c r="AD72" s="13">
        <f t="shared" si="1"/>
        <v>14.666666666666671</v>
      </c>
    </row>
    <row r="73" spans="1:30" x14ac:dyDescent="0.3">
      <c r="A73" s="10">
        <v>57</v>
      </c>
      <c r="B73" s="11" t="s">
        <v>83</v>
      </c>
      <c r="C73" s="12">
        <v>0</v>
      </c>
      <c r="D73" s="13">
        <v>0</v>
      </c>
      <c r="E73" s="14">
        <v>9.1999999999999993</v>
      </c>
      <c r="F73" s="15">
        <v>2</v>
      </c>
      <c r="G73" s="14">
        <v>256.5</v>
      </c>
      <c r="H73" s="15">
        <v>7</v>
      </c>
      <c r="I73" s="12">
        <v>254.79999999999998</v>
      </c>
      <c r="J73" s="13">
        <v>5</v>
      </c>
      <c r="K73" s="12">
        <v>218.1</v>
      </c>
      <c r="L73" s="13">
        <v>10</v>
      </c>
      <c r="M73" s="12">
        <v>388.59999999999997</v>
      </c>
      <c r="N73" s="13">
        <v>11</v>
      </c>
      <c r="O73" s="12">
        <v>250.7</v>
      </c>
      <c r="P73" s="13">
        <v>9</v>
      </c>
      <c r="Q73" s="12">
        <v>148.30000000000001</v>
      </c>
      <c r="R73" s="13">
        <v>7</v>
      </c>
      <c r="S73" s="12">
        <v>422.6</v>
      </c>
      <c r="T73" s="13">
        <v>18</v>
      </c>
      <c r="U73" s="12">
        <v>391.5</v>
      </c>
      <c r="V73" s="13">
        <v>13</v>
      </c>
      <c r="W73" s="12">
        <v>73.8</v>
      </c>
      <c r="X73" s="13">
        <v>4</v>
      </c>
      <c r="Y73" s="14">
        <v>2414.1000000000004</v>
      </c>
      <c r="Z73" s="15">
        <v>86</v>
      </c>
      <c r="AA73" s="12">
        <v>1663.8</v>
      </c>
      <c r="AB73" s="13">
        <v>74</v>
      </c>
      <c r="AC73" s="12">
        <f t="shared" si="1"/>
        <v>750.30000000000041</v>
      </c>
      <c r="AD73" s="13">
        <f t="shared" si="1"/>
        <v>12</v>
      </c>
    </row>
    <row r="74" spans="1:30" x14ac:dyDescent="0.3">
      <c r="A74" s="10">
        <v>58</v>
      </c>
      <c r="B74" s="11" t="s">
        <v>84</v>
      </c>
      <c r="C74" s="12">
        <v>2.35</v>
      </c>
      <c r="D74" s="13">
        <v>0.5</v>
      </c>
      <c r="E74" s="14">
        <v>17.649999999999999</v>
      </c>
      <c r="F74" s="15">
        <v>2.5</v>
      </c>
      <c r="G74" s="14">
        <v>133.35</v>
      </c>
      <c r="H74" s="15">
        <v>7</v>
      </c>
      <c r="I74" s="12">
        <v>181.75</v>
      </c>
      <c r="J74" s="13">
        <v>7</v>
      </c>
      <c r="K74" s="12">
        <v>165</v>
      </c>
      <c r="L74" s="13">
        <v>10.5</v>
      </c>
      <c r="M74" s="12">
        <v>227.95</v>
      </c>
      <c r="N74" s="13">
        <v>14</v>
      </c>
      <c r="O74" s="12">
        <v>330.75</v>
      </c>
      <c r="P74" s="13">
        <v>11.5</v>
      </c>
      <c r="Q74" s="12">
        <v>84.95</v>
      </c>
      <c r="R74" s="13">
        <v>8.5</v>
      </c>
      <c r="S74" s="12">
        <v>377.05</v>
      </c>
      <c r="T74" s="13">
        <v>16.5</v>
      </c>
      <c r="U74" s="12">
        <v>226.35</v>
      </c>
      <c r="V74" s="13">
        <v>12.5</v>
      </c>
      <c r="W74" s="12">
        <v>71</v>
      </c>
      <c r="X74" s="13">
        <v>3</v>
      </c>
      <c r="Y74" s="14">
        <v>1818.1499999999999</v>
      </c>
      <c r="Z74" s="15">
        <v>93.5</v>
      </c>
      <c r="AA74" s="12">
        <v>1291.3</v>
      </c>
      <c r="AB74" s="13">
        <v>80</v>
      </c>
      <c r="AC74" s="12">
        <f t="shared" si="1"/>
        <v>526.84999999999991</v>
      </c>
      <c r="AD74" s="13">
        <f t="shared" si="1"/>
        <v>13.5</v>
      </c>
    </row>
    <row r="75" spans="1:30" x14ac:dyDescent="0.3">
      <c r="A75" s="10">
        <v>59</v>
      </c>
      <c r="B75" s="11" t="s">
        <v>85</v>
      </c>
      <c r="C75" s="12">
        <v>0</v>
      </c>
      <c r="D75" s="13">
        <v>0</v>
      </c>
      <c r="E75" s="14">
        <v>16.149999999999999</v>
      </c>
      <c r="F75" s="15">
        <v>2</v>
      </c>
      <c r="G75" s="14">
        <v>150.17500000000001</v>
      </c>
      <c r="H75" s="15">
        <v>7.5</v>
      </c>
      <c r="I75" s="12">
        <v>191.7</v>
      </c>
      <c r="J75" s="13">
        <v>8</v>
      </c>
      <c r="K75" s="12">
        <v>167.75</v>
      </c>
      <c r="L75" s="13">
        <v>10.5</v>
      </c>
      <c r="M75" s="12">
        <v>228.77499999999998</v>
      </c>
      <c r="N75" s="13">
        <v>13.5</v>
      </c>
      <c r="O75" s="12">
        <v>227.45</v>
      </c>
      <c r="P75" s="13">
        <v>12</v>
      </c>
      <c r="Q75" s="12">
        <v>110.05000000000001</v>
      </c>
      <c r="R75" s="13">
        <v>9.5</v>
      </c>
      <c r="S75" s="12">
        <v>316.3</v>
      </c>
      <c r="T75" s="13">
        <v>12</v>
      </c>
      <c r="U75" s="12">
        <v>150.625</v>
      </c>
      <c r="V75" s="13">
        <v>10</v>
      </c>
      <c r="W75" s="12">
        <v>47.9</v>
      </c>
      <c r="X75" s="13">
        <v>3</v>
      </c>
      <c r="Y75" s="14">
        <v>1606.875</v>
      </c>
      <c r="Z75" s="15">
        <v>88</v>
      </c>
      <c r="AA75" s="12">
        <v>1267.7549999999999</v>
      </c>
      <c r="AB75" s="13">
        <v>68.5</v>
      </c>
      <c r="AC75" s="12">
        <f t="shared" si="1"/>
        <v>339.12000000000012</v>
      </c>
      <c r="AD75" s="13">
        <f t="shared" si="1"/>
        <v>19.5</v>
      </c>
    </row>
    <row r="76" spans="1:30" x14ac:dyDescent="0.3">
      <c r="A76" s="10">
        <v>60</v>
      </c>
      <c r="B76" s="11" t="s">
        <v>86</v>
      </c>
      <c r="C76" s="12">
        <v>0</v>
      </c>
      <c r="D76" s="13">
        <v>0</v>
      </c>
      <c r="E76" s="14">
        <v>7.2875000000000005</v>
      </c>
      <c r="F76" s="15">
        <v>1.5</v>
      </c>
      <c r="G76" s="14">
        <v>99.025000000000006</v>
      </c>
      <c r="H76" s="15">
        <v>5.5</v>
      </c>
      <c r="I76" s="12">
        <v>101.5</v>
      </c>
      <c r="J76" s="13">
        <v>7.25</v>
      </c>
      <c r="K76" s="12">
        <v>125.52499999999999</v>
      </c>
      <c r="L76" s="13">
        <v>9</v>
      </c>
      <c r="M76" s="12">
        <v>73.212499999999991</v>
      </c>
      <c r="N76" s="13">
        <v>4.25</v>
      </c>
      <c r="O76" s="12">
        <v>311.54999999999995</v>
      </c>
      <c r="P76" s="13">
        <v>7.75</v>
      </c>
      <c r="Q76" s="12">
        <v>148.22499999999999</v>
      </c>
      <c r="R76" s="13">
        <v>6</v>
      </c>
      <c r="S76" s="12">
        <v>134.875</v>
      </c>
      <c r="T76" s="13">
        <v>6</v>
      </c>
      <c r="U76" s="12">
        <v>206.8</v>
      </c>
      <c r="V76" s="13">
        <v>8.25</v>
      </c>
      <c r="W76" s="12">
        <v>45.55</v>
      </c>
      <c r="X76" s="13">
        <v>3</v>
      </c>
      <c r="Y76" s="14">
        <v>1253.55</v>
      </c>
      <c r="Z76" s="15">
        <v>58.5</v>
      </c>
      <c r="AA76" s="12">
        <v>852.22500000000002</v>
      </c>
      <c r="AB76" s="13">
        <v>36</v>
      </c>
      <c r="AC76" s="12">
        <f t="shared" si="1"/>
        <v>401.32499999999993</v>
      </c>
      <c r="AD76" s="13">
        <f t="shared" si="1"/>
        <v>22.5</v>
      </c>
    </row>
    <row r="77" spans="1:30" x14ac:dyDescent="0.3">
      <c r="A77" s="10">
        <v>61</v>
      </c>
      <c r="B77" s="11" t="s">
        <v>87</v>
      </c>
      <c r="C77" s="12">
        <v>13.1</v>
      </c>
      <c r="D77" s="13">
        <v>2</v>
      </c>
      <c r="E77" s="14">
        <v>31.6</v>
      </c>
      <c r="F77" s="15">
        <v>3.5</v>
      </c>
      <c r="G77" s="14">
        <v>132.64999999999998</v>
      </c>
      <c r="H77" s="15">
        <v>8</v>
      </c>
      <c r="I77" s="12">
        <v>155.25</v>
      </c>
      <c r="J77" s="13">
        <v>7</v>
      </c>
      <c r="K77" s="12">
        <v>114.30000000000001</v>
      </c>
      <c r="L77" s="13">
        <v>8</v>
      </c>
      <c r="M77" s="12">
        <v>247.55</v>
      </c>
      <c r="N77" s="13">
        <v>11.5</v>
      </c>
      <c r="O77" s="12">
        <v>203.8</v>
      </c>
      <c r="P77" s="13">
        <v>12</v>
      </c>
      <c r="Q77" s="12">
        <v>84</v>
      </c>
      <c r="R77" s="13">
        <v>8</v>
      </c>
      <c r="S77" s="12">
        <v>306.89999999999998</v>
      </c>
      <c r="T77" s="13">
        <v>11</v>
      </c>
      <c r="U77" s="12">
        <v>116.25</v>
      </c>
      <c r="V77" s="13">
        <v>8</v>
      </c>
      <c r="W77" s="12">
        <v>28.25</v>
      </c>
      <c r="X77" s="13">
        <v>4</v>
      </c>
      <c r="Y77" s="14">
        <v>1433.65</v>
      </c>
      <c r="Z77" s="15">
        <v>83</v>
      </c>
      <c r="AA77" s="12">
        <v>1035.7</v>
      </c>
      <c r="AB77" s="13">
        <v>62.5</v>
      </c>
      <c r="AC77" s="12">
        <f t="shared" si="1"/>
        <v>397.95000000000005</v>
      </c>
      <c r="AD77" s="13">
        <f t="shared" si="1"/>
        <v>20.5</v>
      </c>
    </row>
    <row r="78" spans="1:30" ht="15" customHeight="1" x14ac:dyDescent="0.3">
      <c r="A78" s="10">
        <v>62</v>
      </c>
      <c r="B78" s="22" t="s">
        <v>88</v>
      </c>
      <c r="C78" s="12">
        <v>0</v>
      </c>
      <c r="D78" s="13">
        <v>0</v>
      </c>
      <c r="E78" s="14">
        <v>16</v>
      </c>
      <c r="F78" s="15">
        <v>3</v>
      </c>
      <c r="G78" s="14">
        <v>124.75</v>
      </c>
      <c r="H78" s="15">
        <v>6.5</v>
      </c>
      <c r="I78" s="12">
        <v>192.72499999999999</v>
      </c>
      <c r="J78" s="13">
        <v>7</v>
      </c>
      <c r="K78" s="12">
        <v>173.5</v>
      </c>
      <c r="L78" s="13">
        <v>9</v>
      </c>
      <c r="M78" s="12">
        <v>279.3</v>
      </c>
      <c r="N78" s="13">
        <v>12.5</v>
      </c>
      <c r="O78" s="12">
        <v>251</v>
      </c>
      <c r="P78" s="13">
        <v>7</v>
      </c>
      <c r="Q78" s="12">
        <v>62.25</v>
      </c>
      <c r="R78" s="13">
        <v>6</v>
      </c>
      <c r="S78" s="12">
        <v>318.5</v>
      </c>
      <c r="T78" s="13">
        <v>10.5</v>
      </c>
      <c r="U78" s="12">
        <v>346.4</v>
      </c>
      <c r="V78" s="13">
        <v>8</v>
      </c>
      <c r="W78" s="12">
        <v>53.5</v>
      </c>
      <c r="X78" s="13">
        <v>2.5</v>
      </c>
      <c r="Y78" s="14">
        <v>1817.9250000000002</v>
      </c>
      <c r="Z78" s="15">
        <v>72</v>
      </c>
      <c r="AA78" s="12">
        <v>1303.25</v>
      </c>
      <c r="AB78" s="13">
        <v>60.5</v>
      </c>
      <c r="AC78" s="12">
        <f t="shared" si="1"/>
        <v>514.67500000000018</v>
      </c>
      <c r="AD78" s="13">
        <f t="shared" si="1"/>
        <v>11.5</v>
      </c>
    </row>
    <row r="79" spans="1:30" ht="15" customHeight="1" x14ac:dyDescent="0.3">
      <c r="A79" s="10">
        <v>63</v>
      </c>
      <c r="B79" s="22" t="s">
        <v>89</v>
      </c>
      <c r="C79" s="17">
        <v>0</v>
      </c>
      <c r="D79" s="17">
        <v>0</v>
      </c>
      <c r="E79" s="17">
        <v>7</v>
      </c>
      <c r="F79" s="17">
        <v>1</v>
      </c>
      <c r="G79" s="17">
        <v>146.9</v>
      </c>
      <c r="H79" s="17">
        <v>5.5</v>
      </c>
      <c r="I79" s="17">
        <v>160.35</v>
      </c>
      <c r="J79" s="17">
        <v>7.5</v>
      </c>
      <c r="K79" s="17">
        <v>362.65</v>
      </c>
      <c r="L79" s="17">
        <v>13</v>
      </c>
      <c r="M79" s="17">
        <v>510</v>
      </c>
      <c r="N79" s="17">
        <v>15.5</v>
      </c>
      <c r="O79" s="17">
        <v>209.3</v>
      </c>
      <c r="P79" s="18">
        <v>7.5</v>
      </c>
      <c r="Q79" s="17">
        <v>48.8</v>
      </c>
      <c r="R79" s="17">
        <v>5.5</v>
      </c>
      <c r="S79" s="17">
        <v>326.3</v>
      </c>
      <c r="T79" s="17">
        <v>9</v>
      </c>
      <c r="U79" s="17">
        <v>310.3</v>
      </c>
      <c r="V79" s="17">
        <v>10.5</v>
      </c>
      <c r="W79" s="17">
        <v>118.65</v>
      </c>
      <c r="X79" s="17">
        <v>3.5</v>
      </c>
      <c r="Y79" s="17">
        <v>2200.25</v>
      </c>
      <c r="Z79" s="17">
        <v>78.5</v>
      </c>
      <c r="AA79" s="17">
        <v>1642.1000000000001</v>
      </c>
      <c r="AB79" s="18">
        <v>55</v>
      </c>
      <c r="AC79" s="17">
        <f t="shared" si="1"/>
        <v>558.14999999999986</v>
      </c>
      <c r="AD79" s="18">
        <f t="shared" si="1"/>
        <v>23.5</v>
      </c>
    </row>
    <row r="80" spans="1:30" ht="21.75" customHeight="1" x14ac:dyDescent="0.3">
      <c r="A80" s="16" t="s">
        <v>90</v>
      </c>
      <c r="B80" s="16"/>
      <c r="C80" s="17">
        <v>0.27647058823529413</v>
      </c>
      <c r="D80" s="17">
        <v>5.8823529411764705E-2</v>
      </c>
      <c r="E80" s="17">
        <v>13.408823529411768</v>
      </c>
      <c r="F80" s="17">
        <v>1.9411764705882353</v>
      </c>
      <c r="G80" s="17">
        <v>130.41470588235296</v>
      </c>
      <c r="H80" s="17">
        <v>6.5882352941176467</v>
      </c>
      <c r="I80" s="17">
        <v>153.39705882352939</v>
      </c>
      <c r="J80" s="17">
        <v>7.4705882352941178</v>
      </c>
      <c r="K80" s="17">
        <v>179.95294117647063</v>
      </c>
      <c r="L80" s="17">
        <v>10.117647058823529</v>
      </c>
      <c r="M80" s="17">
        <v>230.92352941176469</v>
      </c>
      <c r="N80" s="17">
        <v>10.588235294117647</v>
      </c>
      <c r="O80" s="17">
        <v>274.05588235294124</v>
      </c>
      <c r="P80" s="18">
        <v>9.6470588235294112</v>
      </c>
      <c r="Q80" s="17">
        <v>90.164705882352933</v>
      </c>
      <c r="R80" s="17">
        <v>6.5882352941176467</v>
      </c>
      <c r="S80" s="17">
        <v>276.01764705882351</v>
      </c>
      <c r="T80" s="17">
        <v>11.235294117647058</v>
      </c>
      <c r="U80" s="17">
        <v>226.19117647058823</v>
      </c>
      <c r="V80" s="17">
        <v>9.4705882352941178</v>
      </c>
      <c r="W80" s="17">
        <v>51.888235294117642</v>
      </c>
      <c r="X80" s="17">
        <v>2.7058823529411766</v>
      </c>
      <c r="Y80" s="17">
        <v>1626.6911764705885</v>
      </c>
      <c r="Z80" s="17">
        <v>76.411764705882348</v>
      </c>
      <c r="AA80" s="17">
        <v>1211.4044117647059</v>
      </c>
      <c r="AB80" s="18">
        <v>60.008823529411764</v>
      </c>
      <c r="AC80" s="17">
        <f t="shared" si="1"/>
        <v>415.28676470588266</v>
      </c>
      <c r="AD80" s="18">
        <f t="shared" si="1"/>
        <v>16.402941176470584</v>
      </c>
    </row>
    <row r="81" spans="1:30" x14ac:dyDescent="0.3">
      <c r="A81" s="10">
        <v>64</v>
      </c>
      <c r="B81" s="11" t="s">
        <v>91</v>
      </c>
      <c r="C81" s="12">
        <v>1</v>
      </c>
      <c r="D81" s="13">
        <v>1</v>
      </c>
      <c r="E81" s="14">
        <v>54.1</v>
      </c>
      <c r="F81" s="15">
        <v>2</v>
      </c>
      <c r="G81" s="14">
        <v>148.69999999999999</v>
      </c>
      <c r="H81" s="15">
        <v>7</v>
      </c>
      <c r="I81" s="12">
        <v>212.04</v>
      </c>
      <c r="J81" s="13">
        <v>9</v>
      </c>
      <c r="K81" s="12">
        <v>181.72000000000003</v>
      </c>
      <c r="L81" s="13">
        <v>11</v>
      </c>
      <c r="M81" s="12">
        <v>152.30000000000001</v>
      </c>
      <c r="N81" s="13">
        <v>9</v>
      </c>
      <c r="O81" s="12">
        <v>263.78000000000003</v>
      </c>
      <c r="P81" s="13">
        <v>10.199999999999999</v>
      </c>
      <c r="Q81" s="12">
        <v>51</v>
      </c>
      <c r="R81" s="13">
        <v>4.2</v>
      </c>
      <c r="S81" s="12">
        <v>103.8</v>
      </c>
      <c r="T81" s="13">
        <v>7.2</v>
      </c>
      <c r="U81" s="12">
        <v>112.8</v>
      </c>
      <c r="V81" s="13">
        <v>6</v>
      </c>
      <c r="W81" s="12">
        <v>24.666666666666668</v>
      </c>
      <c r="X81" s="13">
        <v>1.3333333333333333</v>
      </c>
      <c r="Y81" s="14">
        <v>1305.9066666666665</v>
      </c>
      <c r="Z81" s="15">
        <v>67.933333333333337</v>
      </c>
      <c r="AA81" s="12">
        <v>1357.2199999999998</v>
      </c>
      <c r="AB81" s="13">
        <v>54.550000000000004</v>
      </c>
      <c r="AC81" s="12">
        <f t="shared" si="1"/>
        <v>-51.313333333333276</v>
      </c>
      <c r="AD81" s="13">
        <f t="shared" si="1"/>
        <v>13.383333333333333</v>
      </c>
    </row>
    <row r="82" spans="1:30" x14ac:dyDescent="0.3">
      <c r="A82" s="10">
        <v>65</v>
      </c>
      <c r="B82" s="11" t="s">
        <v>92</v>
      </c>
      <c r="C82" s="12">
        <v>5</v>
      </c>
      <c r="D82" s="13">
        <v>1</v>
      </c>
      <c r="E82" s="14">
        <v>39</v>
      </c>
      <c r="F82" s="15">
        <v>2</v>
      </c>
      <c r="G82" s="14">
        <v>158</v>
      </c>
      <c r="H82" s="15">
        <v>6</v>
      </c>
      <c r="I82" s="12">
        <v>173</v>
      </c>
      <c r="J82" s="13">
        <v>5</v>
      </c>
      <c r="K82" s="12">
        <v>154</v>
      </c>
      <c r="L82" s="13">
        <v>7</v>
      </c>
      <c r="M82" s="12">
        <v>127</v>
      </c>
      <c r="N82" s="13">
        <v>7</v>
      </c>
      <c r="O82" s="12">
        <v>189.375</v>
      </c>
      <c r="P82" s="13">
        <v>8.25</v>
      </c>
      <c r="Q82" s="12">
        <v>39</v>
      </c>
      <c r="R82" s="13">
        <v>5.75</v>
      </c>
      <c r="S82" s="12">
        <v>246</v>
      </c>
      <c r="T82" s="13">
        <v>8.75</v>
      </c>
      <c r="U82" s="12">
        <v>109.75</v>
      </c>
      <c r="V82" s="13">
        <v>6.25</v>
      </c>
      <c r="W82" s="12">
        <v>30.25</v>
      </c>
      <c r="X82" s="13">
        <v>1.75</v>
      </c>
      <c r="Y82" s="14">
        <v>1270.375</v>
      </c>
      <c r="Z82" s="15">
        <v>58.75</v>
      </c>
      <c r="AA82" s="12">
        <v>1241.375</v>
      </c>
      <c r="AB82" s="13">
        <v>62.5</v>
      </c>
      <c r="AC82" s="12">
        <f t="shared" si="1"/>
        <v>29</v>
      </c>
      <c r="AD82" s="13">
        <f t="shared" si="1"/>
        <v>-3.75</v>
      </c>
    </row>
    <row r="83" spans="1:30" x14ac:dyDescent="0.3">
      <c r="A83" s="10">
        <v>66</v>
      </c>
      <c r="B83" s="11" t="s">
        <v>93</v>
      </c>
      <c r="C83" s="12">
        <v>3.4</v>
      </c>
      <c r="D83" s="13">
        <v>1</v>
      </c>
      <c r="E83" s="14">
        <v>80</v>
      </c>
      <c r="F83" s="15">
        <v>3</v>
      </c>
      <c r="G83" s="14">
        <v>165.4</v>
      </c>
      <c r="H83" s="15">
        <v>8</v>
      </c>
      <c r="I83" s="12">
        <v>65.8</v>
      </c>
      <c r="J83" s="13">
        <v>7</v>
      </c>
      <c r="K83" s="12">
        <v>102.1</v>
      </c>
      <c r="L83" s="13">
        <v>7</v>
      </c>
      <c r="M83" s="12">
        <v>216.20000000000002</v>
      </c>
      <c r="N83" s="13">
        <v>11</v>
      </c>
      <c r="O83" s="12">
        <v>164.2</v>
      </c>
      <c r="P83" s="13">
        <v>8.4</v>
      </c>
      <c r="Q83" s="12">
        <v>106.35</v>
      </c>
      <c r="R83" s="13">
        <v>6.2</v>
      </c>
      <c r="S83" s="12">
        <v>126.8</v>
      </c>
      <c r="T83" s="13">
        <v>8.1999999999999993</v>
      </c>
      <c r="U83" s="12">
        <v>254.4</v>
      </c>
      <c r="V83" s="13">
        <v>12.6</v>
      </c>
      <c r="W83" s="12">
        <v>25.9</v>
      </c>
      <c r="X83" s="13">
        <v>2.2000000000000002</v>
      </c>
      <c r="Y83" s="14">
        <v>1310.5500000000004</v>
      </c>
      <c r="Z83" s="15">
        <v>74.599999999999994</v>
      </c>
      <c r="AA83" s="12">
        <v>1006.4000000000001</v>
      </c>
      <c r="AB83" s="13">
        <v>57.000000000000007</v>
      </c>
      <c r="AC83" s="12">
        <f t="shared" si="1"/>
        <v>304.15000000000032</v>
      </c>
      <c r="AD83" s="13">
        <f t="shared" si="1"/>
        <v>17.599999999999987</v>
      </c>
    </row>
    <row r="84" spans="1:30" x14ac:dyDescent="0.3">
      <c r="A84" s="10">
        <v>67</v>
      </c>
      <c r="B84" s="11" t="s">
        <v>94</v>
      </c>
      <c r="C84" s="12">
        <v>2</v>
      </c>
      <c r="D84" s="13">
        <v>1</v>
      </c>
      <c r="E84" s="14">
        <v>29.5</v>
      </c>
      <c r="F84" s="15">
        <v>2</v>
      </c>
      <c r="G84" s="14">
        <v>153</v>
      </c>
      <c r="H84" s="15">
        <v>9</v>
      </c>
      <c r="I84" s="12">
        <v>100.25</v>
      </c>
      <c r="J84" s="13">
        <v>9</v>
      </c>
      <c r="K84" s="12">
        <v>124.875</v>
      </c>
      <c r="L84" s="13">
        <v>9</v>
      </c>
      <c r="M84" s="12">
        <v>158</v>
      </c>
      <c r="N84" s="13">
        <v>11</v>
      </c>
      <c r="O84" s="12">
        <v>207</v>
      </c>
      <c r="P84" s="13">
        <v>9</v>
      </c>
      <c r="Q84" s="12">
        <v>165</v>
      </c>
      <c r="R84" s="13">
        <v>8.25</v>
      </c>
      <c r="S84" s="12">
        <v>139.625</v>
      </c>
      <c r="T84" s="13">
        <v>9.25</v>
      </c>
      <c r="U84" s="12">
        <v>191.125</v>
      </c>
      <c r="V84" s="13">
        <v>11.5</v>
      </c>
      <c r="W84" s="12">
        <v>23.25</v>
      </c>
      <c r="X84" s="13">
        <v>2.25</v>
      </c>
      <c r="Y84" s="14">
        <v>1293.625</v>
      </c>
      <c r="Z84" s="15">
        <v>81.25</v>
      </c>
      <c r="AA84" s="12">
        <v>914.5</v>
      </c>
      <c r="AB84" s="13">
        <v>52</v>
      </c>
      <c r="AC84" s="12">
        <f t="shared" si="1"/>
        <v>379.125</v>
      </c>
      <c r="AD84" s="13">
        <f t="shared" si="1"/>
        <v>29.25</v>
      </c>
    </row>
    <row r="85" spans="1:30" x14ac:dyDescent="0.3">
      <c r="A85" s="10">
        <v>68</v>
      </c>
      <c r="B85" s="11" t="s">
        <v>95</v>
      </c>
      <c r="C85" s="12">
        <v>5.46</v>
      </c>
      <c r="D85" s="13">
        <v>1</v>
      </c>
      <c r="E85" s="14">
        <v>32.519999999999996</v>
      </c>
      <c r="F85" s="15">
        <v>3</v>
      </c>
      <c r="G85" s="14">
        <v>147.38</v>
      </c>
      <c r="H85" s="15">
        <v>8</v>
      </c>
      <c r="I85" s="12">
        <v>220.14</v>
      </c>
      <c r="J85" s="13">
        <v>10</v>
      </c>
      <c r="K85" s="12">
        <v>133.10000000000002</v>
      </c>
      <c r="L85" s="13">
        <v>9</v>
      </c>
      <c r="M85" s="12">
        <v>150.07999999999998</v>
      </c>
      <c r="N85" s="13">
        <v>9</v>
      </c>
      <c r="O85" s="12">
        <v>146.1</v>
      </c>
      <c r="P85" s="13">
        <v>8.8000000000000007</v>
      </c>
      <c r="Q85" s="12">
        <v>64.84</v>
      </c>
      <c r="R85" s="13">
        <v>7.2</v>
      </c>
      <c r="S85" s="12">
        <v>217.64000000000001</v>
      </c>
      <c r="T85" s="13">
        <v>11.6</v>
      </c>
      <c r="U85" s="12">
        <v>148.68</v>
      </c>
      <c r="V85" s="13">
        <v>9.6</v>
      </c>
      <c r="W85" s="12">
        <v>55.43</v>
      </c>
      <c r="X85" s="13">
        <v>4</v>
      </c>
      <c r="Y85" s="14">
        <v>1321.3700000000003</v>
      </c>
      <c r="Z85" s="15">
        <v>81.199999999999989</v>
      </c>
      <c r="AA85" s="12">
        <v>1070.74</v>
      </c>
      <c r="AB85" s="13">
        <v>65.400000000000006</v>
      </c>
      <c r="AC85" s="12">
        <f t="shared" si="1"/>
        <v>250.63000000000034</v>
      </c>
      <c r="AD85" s="13">
        <f t="shared" si="1"/>
        <v>15.799999999999983</v>
      </c>
    </row>
    <row r="86" spans="1:30" ht="21" customHeight="1" x14ac:dyDescent="0.3">
      <c r="A86" s="16" t="s">
        <v>96</v>
      </c>
      <c r="B86" s="16"/>
      <c r="C86" s="17">
        <v>3.1149999999999998</v>
      </c>
      <c r="D86" s="17">
        <v>1</v>
      </c>
      <c r="E86" s="17">
        <v>49.505000000000003</v>
      </c>
      <c r="F86" s="17">
        <v>3</v>
      </c>
      <c r="G86" s="17">
        <v>153.87</v>
      </c>
      <c r="H86" s="17">
        <v>9</v>
      </c>
      <c r="I86" s="17">
        <v>153.19500000000002</v>
      </c>
      <c r="J86" s="17">
        <v>8</v>
      </c>
      <c r="K86" s="17">
        <v>136.905</v>
      </c>
      <c r="L86" s="17">
        <v>8</v>
      </c>
      <c r="M86" s="17">
        <v>167.595</v>
      </c>
      <c r="N86" s="17">
        <v>10</v>
      </c>
      <c r="O86" s="17">
        <v>198.52</v>
      </c>
      <c r="P86" s="18">
        <v>10</v>
      </c>
      <c r="Q86" s="17">
        <v>100.21944444444445</v>
      </c>
      <c r="R86" s="17">
        <v>8</v>
      </c>
      <c r="S86" s="17">
        <v>175.76111111111112</v>
      </c>
      <c r="T86" s="17">
        <v>11</v>
      </c>
      <c r="U86" s="17">
        <v>192.77222222222224</v>
      </c>
      <c r="V86" s="17">
        <v>12</v>
      </c>
      <c r="W86" s="17">
        <v>29.405555555555559</v>
      </c>
      <c r="X86" s="17">
        <v>3</v>
      </c>
      <c r="Y86" s="17">
        <v>1360.8633333333332</v>
      </c>
      <c r="Z86" s="17">
        <v>83</v>
      </c>
      <c r="AA86" s="17">
        <v>1121.0847826086958</v>
      </c>
      <c r="AB86" s="18">
        <v>71</v>
      </c>
      <c r="AC86" s="17">
        <f t="shared" si="1"/>
        <v>239.7785507246374</v>
      </c>
      <c r="AD86" s="18">
        <f t="shared" si="1"/>
        <v>12</v>
      </c>
    </row>
    <row r="87" spans="1:30" ht="21" customHeight="1" x14ac:dyDescent="0.3">
      <c r="A87" s="16" t="s">
        <v>97</v>
      </c>
      <c r="B87" s="16"/>
      <c r="C87" s="17">
        <v>2.0342105263157895</v>
      </c>
      <c r="D87" s="17">
        <v>0.26315789473684209</v>
      </c>
      <c r="E87" s="17">
        <v>33.23026315789474</v>
      </c>
      <c r="F87" s="17">
        <v>1.8947368421052631</v>
      </c>
      <c r="G87" s="17">
        <v>143.79342105263157</v>
      </c>
      <c r="H87" s="17">
        <v>6.7631578947368425</v>
      </c>
      <c r="I87" s="17">
        <v>153.72499999999999</v>
      </c>
      <c r="J87" s="17">
        <v>7.3157894736842106</v>
      </c>
      <c r="K87" s="17">
        <v>155.40789473684211</v>
      </c>
      <c r="L87" s="17">
        <v>8.7368421052631575</v>
      </c>
      <c r="M87" s="17">
        <v>198.00263157894736</v>
      </c>
      <c r="N87" s="17">
        <v>9.7631578947368425</v>
      </c>
      <c r="O87" s="17">
        <v>232.43815789473683</v>
      </c>
      <c r="P87" s="18">
        <v>9.4473684210526319</v>
      </c>
      <c r="Q87" s="17">
        <v>90.646052631578954</v>
      </c>
      <c r="R87" s="17">
        <v>6.5</v>
      </c>
      <c r="S87" s="17">
        <v>214.67631578947368</v>
      </c>
      <c r="T87" s="17">
        <v>10.105263157894736</v>
      </c>
      <c r="U87" s="17">
        <v>195.79605263157896</v>
      </c>
      <c r="V87" s="17">
        <v>9.526315789473685</v>
      </c>
      <c r="W87" s="17">
        <v>38.002631578947366</v>
      </c>
      <c r="X87" s="17">
        <v>2.4210526315789473</v>
      </c>
      <c r="Y87" s="17">
        <v>1457.7526315789473</v>
      </c>
      <c r="Z87" s="17">
        <v>72.73684210526315</v>
      </c>
      <c r="AA87" s="17">
        <v>1148.750385423017</v>
      </c>
      <c r="AB87" s="18">
        <v>58.495815276721039</v>
      </c>
      <c r="AC87" s="17">
        <f t="shared" si="1"/>
        <v>309.00224615593038</v>
      </c>
      <c r="AD87" s="18">
        <f t="shared" si="1"/>
        <v>14.241026828542111</v>
      </c>
    </row>
    <row r="88" spans="1:30" x14ac:dyDescent="0.3">
      <c r="A88" s="10">
        <v>69</v>
      </c>
      <c r="B88" s="11" t="s">
        <v>98</v>
      </c>
      <c r="C88" s="12">
        <v>19</v>
      </c>
      <c r="D88" s="13">
        <v>1</v>
      </c>
      <c r="E88" s="14">
        <v>26.5</v>
      </c>
      <c r="F88" s="15">
        <v>1</v>
      </c>
      <c r="G88" s="14">
        <v>69</v>
      </c>
      <c r="H88" s="15">
        <v>3.5</v>
      </c>
      <c r="I88" s="12">
        <v>91.5</v>
      </c>
      <c r="J88" s="13">
        <v>4.5</v>
      </c>
      <c r="K88" s="12">
        <v>126</v>
      </c>
      <c r="L88" s="13">
        <v>5.5</v>
      </c>
      <c r="M88" s="12">
        <v>232</v>
      </c>
      <c r="N88" s="13">
        <v>8.5</v>
      </c>
      <c r="O88" s="12">
        <v>133</v>
      </c>
      <c r="P88" s="13">
        <v>6.5</v>
      </c>
      <c r="Q88" s="12">
        <v>69.5</v>
      </c>
      <c r="R88" s="13">
        <v>5.5</v>
      </c>
      <c r="S88" s="12">
        <v>239</v>
      </c>
      <c r="T88" s="13">
        <v>9.5</v>
      </c>
      <c r="U88" s="12">
        <v>129</v>
      </c>
      <c r="V88" s="13">
        <v>9</v>
      </c>
      <c r="W88" s="12">
        <v>0</v>
      </c>
      <c r="X88" s="13">
        <v>0</v>
      </c>
      <c r="Y88" s="14">
        <v>1134.5</v>
      </c>
      <c r="Z88" s="15">
        <v>54.5</v>
      </c>
      <c r="AA88" s="12">
        <v>898.5</v>
      </c>
      <c r="AB88" s="13">
        <v>42</v>
      </c>
      <c r="AC88" s="12">
        <f t="shared" si="1"/>
        <v>236</v>
      </c>
      <c r="AD88" s="13">
        <f t="shared" si="1"/>
        <v>12.5</v>
      </c>
    </row>
    <row r="89" spans="1:30" x14ac:dyDescent="0.3">
      <c r="A89" s="10">
        <v>70</v>
      </c>
      <c r="B89" s="11" t="s">
        <v>99</v>
      </c>
      <c r="C89" s="12">
        <v>44.5</v>
      </c>
      <c r="D89" s="13">
        <v>1.5</v>
      </c>
      <c r="E89" s="14">
        <v>28.5</v>
      </c>
      <c r="F89" s="15">
        <v>1.5</v>
      </c>
      <c r="G89" s="14">
        <v>89.5</v>
      </c>
      <c r="H89" s="15">
        <v>6</v>
      </c>
      <c r="I89" s="12">
        <v>249.75</v>
      </c>
      <c r="J89" s="13">
        <v>9.5</v>
      </c>
      <c r="K89" s="12">
        <v>189.5</v>
      </c>
      <c r="L89" s="13">
        <v>7.5</v>
      </c>
      <c r="M89" s="12">
        <v>206</v>
      </c>
      <c r="N89" s="13">
        <v>11</v>
      </c>
      <c r="O89" s="12">
        <v>184</v>
      </c>
      <c r="P89" s="13">
        <v>8</v>
      </c>
      <c r="Q89" s="12">
        <v>95</v>
      </c>
      <c r="R89" s="13">
        <v>9</v>
      </c>
      <c r="S89" s="12">
        <v>318</v>
      </c>
      <c r="T89" s="13">
        <v>10</v>
      </c>
      <c r="U89" s="12">
        <v>150</v>
      </c>
      <c r="V89" s="13">
        <v>10</v>
      </c>
      <c r="W89" s="12">
        <v>0</v>
      </c>
      <c r="X89" s="13">
        <v>0</v>
      </c>
      <c r="Y89" s="14">
        <v>1554.75</v>
      </c>
      <c r="Z89" s="15">
        <v>74</v>
      </c>
      <c r="AA89" s="12">
        <v>1260.5</v>
      </c>
      <c r="AB89" s="13">
        <v>62</v>
      </c>
      <c r="AC89" s="12">
        <f t="shared" si="1"/>
        <v>294.25</v>
      </c>
      <c r="AD89" s="13">
        <f t="shared" si="1"/>
        <v>12</v>
      </c>
    </row>
    <row r="90" spans="1:30" x14ac:dyDescent="0.3">
      <c r="A90" s="10">
        <v>71</v>
      </c>
      <c r="B90" s="11" t="s">
        <v>100</v>
      </c>
      <c r="C90" s="12">
        <v>2.5</v>
      </c>
      <c r="D90" s="13">
        <v>0.5</v>
      </c>
      <c r="E90" s="14">
        <v>11.5</v>
      </c>
      <c r="F90" s="15">
        <v>1</v>
      </c>
      <c r="G90" s="14">
        <v>101.5</v>
      </c>
      <c r="H90" s="15">
        <v>5</v>
      </c>
      <c r="I90" s="12">
        <v>124</v>
      </c>
      <c r="J90" s="13">
        <v>6</v>
      </c>
      <c r="K90" s="12">
        <v>145.5</v>
      </c>
      <c r="L90" s="13">
        <v>7</v>
      </c>
      <c r="M90" s="12">
        <v>140.5</v>
      </c>
      <c r="N90" s="13">
        <v>11</v>
      </c>
      <c r="O90" s="12">
        <v>126</v>
      </c>
      <c r="P90" s="13">
        <v>5.5</v>
      </c>
      <c r="Q90" s="12">
        <v>109</v>
      </c>
      <c r="R90" s="13">
        <v>7.5</v>
      </c>
      <c r="S90" s="12">
        <v>237</v>
      </c>
      <c r="T90" s="13">
        <v>9</v>
      </c>
      <c r="U90" s="12">
        <v>115.5</v>
      </c>
      <c r="V90" s="13">
        <v>8</v>
      </c>
      <c r="W90" s="12">
        <v>0</v>
      </c>
      <c r="X90" s="13">
        <v>0</v>
      </c>
      <c r="Y90" s="14">
        <v>1113</v>
      </c>
      <c r="Z90" s="15">
        <v>60.5</v>
      </c>
      <c r="AA90" s="12">
        <v>1009</v>
      </c>
      <c r="AB90" s="13">
        <v>46.5</v>
      </c>
      <c r="AC90" s="12">
        <f t="shared" si="1"/>
        <v>104</v>
      </c>
      <c r="AD90" s="13">
        <f t="shared" si="1"/>
        <v>14</v>
      </c>
    </row>
    <row r="91" spans="1:30" x14ac:dyDescent="0.3">
      <c r="A91" s="10">
        <v>72</v>
      </c>
      <c r="B91" s="11" t="s">
        <v>101</v>
      </c>
      <c r="C91" s="12">
        <v>1.05</v>
      </c>
      <c r="D91" s="13">
        <v>0.5</v>
      </c>
      <c r="E91" s="14">
        <v>15</v>
      </c>
      <c r="F91" s="15">
        <v>1</v>
      </c>
      <c r="G91" s="14">
        <v>82</v>
      </c>
      <c r="H91" s="15">
        <v>6.5</v>
      </c>
      <c r="I91" s="12">
        <v>121</v>
      </c>
      <c r="J91" s="13">
        <v>9</v>
      </c>
      <c r="K91" s="12">
        <v>164.8</v>
      </c>
      <c r="L91" s="13">
        <v>11</v>
      </c>
      <c r="M91" s="12">
        <v>307</v>
      </c>
      <c r="N91" s="13">
        <v>15</v>
      </c>
      <c r="O91" s="12">
        <v>175.7</v>
      </c>
      <c r="P91" s="13">
        <v>13.5</v>
      </c>
      <c r="Q91" s="12">
        <v>46.95</v>
      </c>
      <c r="R91" s="13">
        <v>9</v>
      </c>
      <c r="S91" s="12">
        <v>293</v>
      </c>
      <c r="T91" s="13">
        <v>11.5</v>
      </c>
      <c r="U91" s="12">
        <v>47</v>
      </c>
      <c r="V91" s="13">
        <v>6</v>
      </c>
      <c r="W91" s="12">
        <v>0</v>
      </c>
      <c r="X91" s="13">
        <v>0</v>
      </c>
      <c r="Y91" s="14">
        <v>1253.5</v>
      </c>
      <c r="Z91" s="15">
        <v>83</v>
      </c>
      <c r="AA91" s="12">
        <v>1053.4000000000001</v>
      </c>
      <c r="AB91" s="13">
        <v>77.5</v>
      </c>
      <c r="AC91" s="12">
        <f t="shared" si="1"/>
        <v>200.09999999999991</v>
      </c>
      <c r="AD91" s="13">
        <f t="shared" si="1"/>
        <v>5.5</v>
      </c>
    </row>
    <row r="92" spans="1:30" x14ac:dyDescent="0.3">
      <c r="A92" s="10">
        <v>73</v>
      </c>
      <c r="B92" s="11" t="s">
        <v>102</v>
      </c>
      <c r="C92" s="12">
        <v>28</v>
      </c>
      <c r="D92" s="13">
        <v>1</v>
      </c>
      <c r="E92" s="14">
        <v>12</v>
      </c>
      <c r="F92" s="15">
        <v>1</v>
      </c>
      <c r="G92" s="14">
        <v>107</v>
      </c>
      <c r="H92" s="15">
        <v>7</v>
      </c>
      <c r="I92" s="12">
        <v>123.5</v>
      </c>
      <c r="J92" s="13">
        <v>8.5</v>
      </c>
      <c r="K92" s="12">
        <v>106.5</v>
      </c>
      <c r="L92" s="13">
        <v>5.5</v>
      </c>
      <c r="M92" s="12">
        <v>263.5</v>
      </c>
      <c r="N92" s="13">
        <v>8.5</v>
      </c>
      <c r="O92" s="12">
        <v>159</v>
      </c>
      <c r="P92" s="13">
        <v>6.5</v>
      </c>
      <c r="Q92" s="12">
        <v>100</v>
      </c>
      <c r="R92" s="13">
        <v>6.5</v>
      </c>
      <c r="S92" s="12">
        <v>251</v>
      </c>
      <c r="T92" s="13">
        <v>9.5</v>
      </c>
      <c r="U92" s="12">
        <v>59</v>
      </c>
      <c r="V92" s="13">
        <v>5</v>
      </c>
      <c r="W92" s="12">
        <v>0</v>
      </c>
      <c r="X92" s="13">
        <v>0</v>
      </c>
      <c r="Y92" s="14">
        <v>1209.5</v>
      </c>
      <c r="Z92" s="15">
        <v>59</v>
      </c>
      <c r="AA92" s="12">
        <v>914.5</v>
      </c>
      <c r="AB92" s="13">
        <v>50.5</v>
      </c>
      <c r="AC92" s="12">
        <f t="shared" si="1"/>
        <v>295</v>
      </c>
      <c r="AD92" s="13">
        <f t="shared" si="1"/>
        <v>8.5</v>
      </c>
    </row>
    <row r="93" spans="1:30" x14ac:dyDescent="0.3">
      <c r="A93" s="10">
        <v>74</v>
      </c>
      <c r="B93" s="11" t="s">
        <v>103</v>
      </c>
      <c r="C93" s="12">
        <v>0</v>
      </c>
      <c r="D93" s="13">
        <v>0</v>
      </c>
      <c r="E93" s="14">
        <v>27</v>
      </c>
      <c r="F93" s="15">
        <v>2</v>
      </c>
      <c r="G93" s="14">
        <v>94.5</v>
      </c>
      <c r="H93" s="15">
        <v>4.5</v>
      </c>
      <c r="I93" s="12">
        <v>199.5</v>
      </c>
      <c r="J93" s="13">
        <v>8</v>
      </c>
      <c r="K93" s="12">
        <v>156</v>
      </c>
      <c r="L93" s="13">
        <v>7.5</v>
      </c>
      <c r="M93" s="12">
        <v>70</v>
      </c>
      <c r="N93" s="13">
        <v>4</v>
      </c>
      <c r="O93" s="12">
        <v>234.5</v>
      </c>
      <c r="P93" s="13">
        <v>9.5</v>
      </c>
      <c r="Q93" s="12">
        <v>93.5</v>
      </c>
      <c r="R93" s="13">
        <v>6</v>
      </c>
      <c r="S93" s="12">
        <v>178</v>
      </c>
      <c r="T93" s="13">
        <v>10</v>
      </c>
      <c r="U93" s="12">
        <v>31.1</v>
      </c>
      <c r="V93" s="13">
        <v>3</v>
      </c>
      <c r="W93" s="12">
        <v>0</v>
      </c>
      <c r="X93" s="13">
        <v>0</v>
      </c>
      <c r="Y93" s="14">
        <v>1084.0999999999999</v>
      </c>
      <c r="Z93" s="15">
        <v>54.5</v>
      </c>
      <c r="AA93" s="12">
        <v>1602</v>
      </c>
      <c r="AB93" s="13">
        <v>54.5</v>
      </c>
      <c r="AC93" s="12">
        <f t="shared" si="1"/>
        <v>-517.90000000000009</v>
      </c>
      <c r="AD93" s="13">
        <f t="shared" si="1"/>
        <v>0</v>
      </c>
    </row>
    <row r="94" spans="1:30" x14ac:dyDescent="0.3">
      <c r="A94" s="10">
        <v>75</v>
      </c>
      <c r="B94" s="11" t="s">
        <v>104</v>
      </c>
      <c r="C94" s="12">
        <v>7.5</v>
      </c>
      <c r="D94" s="13">
        <v>0.5</v>
      </c>
      <c r="E94" s="14">
        <v>32.5</v>
      </c>
      <c r="F94" s="15">
        <v>1.5</v>
      </c>
      <c r="G94" s="14">
        <v>57.5</v>
      </c>
      <c r="H94" s="15">
        <v>5</v>
      </c>
      <c r="I94" s="12">
        <v>119</v>
      </c>
      <c r="J94" s="13">
        <v>8</v>
      </c>
      <c r="K94" s="12">
        <v>115.5</v>
      </c>
      <c r="L94" s="13">
        <v>8</v>
      </c>
      <c r="M94" s="12">
        <v>193.5</v>
      </c>
      <c r="N94" s="13">
        <v>10.5</v>
      </c>
      <c r="O94" s="12">
        <v>123.5</v>
      </c>
      <c r="P94" s="13">
        <v>8</v>
      </c>
      <c r="Q94" s="12">
        <v>102</v>
      </c>
      <c r="R94" s="13">
        <v>8.5</v>
      </c>
      <c r="S94" s="12">
        <v>263.5</v>
      </c>
      <c r="T94" s="13">
        <v>10</v>
      </c>
      <c r="U94" s="12">
        <v>44</v>
      </c>
      <c r="V94" s="13">
        <v>3</v>
      </c>
      <c r="W94" s="12">
        <v>18</v>
      </c>
      <c r="X94" s="13">
        <v>1</v>
      </c>
      <c r="Y94" s="14">
        <v>1076.5</v>
      </c>
      <c r="Z94" s="15">
        <v>64</v>
      </c>
      <c r="AA94" s="12">
        <v>926.5</v>
      </c>
      <c r="AB94" s="13">
        <v>62.5</v>
      </c>
      <c r="AC94" s="12">
        <f t="shared" si="1"/>
        <v>150</v>
      </c>
      <c r="AD94" s="13">
        <f t="shared" si="1"/>
        <v>1.5</v>
      </c>
    </row>
    <row r="95" spans="1:30" x14ac:dyDescent="0.3">
      <c r="A95" s="10">
        <v>76</v>
      </c>
      <c r="B95" s="11" t="s">
        <v>105</v>
      </c>
      <c r="C95" s="12">
        <v>26</v>
      </c>
      <c r="D95" s="13">
        <v>1</v>
      </c>
      <c r="E95" s="14">
        <v>10</v>
      </c>
      <c r="F95" s="15">
        <v>0.5</v>
      </c>
      <c r="G95" s="14">
        <v>50.5</v>
      </c>
      <c r="H95" s="15">
        <v>4.5</v>
      </c>
      <c r="I95" s="12">
        <v>176.5</v>
      </c>
      <c r="J95" s="13">
        <v>7</v>
      </c>
      <c r="K95" s="12">
        <v>81.5</v>
      </c>
      <c r="L95" s="13">
        <v>6.5</v>
      </c>
      <c r="M95" s="12">
        <v>173.5</v>
      </c>
      <c r="N95" s="13">
        <v>7</v>
      </c>
      <c r="O95" s="12">
        <v>158.5</v>
      </c>
      <c r="P95" s="13">
        <v>6</v>
      </c>
      <c r="Q95" s="12">
        <v>87.5</v>
      </c>
      <c r="R95" s="13">
        <v>6</v>
      </c>
      <c r="S95" s="12">
        <v>295.5</v>
      </c>
      <c r="T95" s="13">
        <v>10.75</v>
      </c>
      <c r="U95" s="12">
        <v>65.2</v>
      </c>
      <c r="V95" s="13">
        <v>6</v>
      </c>
      <c r="W95" s="12">
        <v>0</v>
      </c>
      <c r="X95" s="13">
        <v>0</v>
      </c>
      <c r="Y95" s="14">
        <v>1124.7</v>
      </c>
      <c r="Z95" s="15">
        <v>55.25</v>
      </c>
      <c r="AA95" s="12">
        <v>1140</v>
      </c>
      <c r="AB95" s="13">
        <v>47.5</v>
      </c>
      <c r="AC95" s="12">
        <f t="shared" si="1"/>
        <v>-15.299999999999955</v>
      </c>
      <c r="AD95" s="13">
        <f t="shared" si="1"/>
        <v>7.75</v>
      </c>
    </row>
    <row r="96" spans="1:30" ht="22.5" customHeight="1" x14ac:dyDescent="0.3">
      <c r="A96" s="16" t="s">
        <v>106</v>
      </c>
      <c r="B96" s="16"/>
      <c r="C96" s="17">
        <v>14.674999999999999</v>
      </c>
      <c r="D96" s="17">
        <v>0.75</v>
      </c>
      <c r="E96" s="17">
        <v>25.666666666666668</v>
      </c>
      <c r="F96" s="17">
        <v>1.5</v>
      </c>
      <c r="G96" s="17">
        <v>83.916666666666657</v>
      </c>
      <c r="H96" s="17">
        <v>5.25</v>
      </c>
      <c r="I96" s="17">
        <v>154.79166666666669</v>
      </c>
      <c r="J96" s="17">
        <v>7.75</v>
      </c>
      <c r="K96" s="17">
        <v>144.79999999999998</v>
      </c>
      <c r="L96" s="17">
        <v>7.5</v>
      </c>
      <c r="M96" s="17">
        <v>190.58333333333334</v>
      </c>
      <c r="N96" s="17">
        <v>9.4166666666666661</v>
      </c>
      <c r="O96" s="17">
        <v>166.2</v>
      </c>
      <c r="P96" s="17">
        <v>8.5</v>
      </c>
      <c r="Q96" s="17">
        <v>87.908333333333331</v>
      </c>
      <c r="R96" s="17">
        <v>7.4166666666666661</v>
      </c>
      <c r="S96" s="17">
        <v>265</v>
      </c>
      <c r="T96" s="17">
        <v>10.416666666666666</v>
      </c>
      <c r="U96" s="17">
        <v>85.462500000000006</v>
      </c>
      <c r="V96" s="17">
        <v>6.8333333333333339</v>
      </c>
      <c r="W96" s="17">
        <v>6.833333333333333</v>
      </c>
      <c r="X96" s="17">
        <v>0.25</v>
      </c>
      <c r="Y96" s="17">
        <v>1225.8375000000001</v>
      </c>
      <c r="Z96" s="17">
        <v>65.583333333333329</v>
      </c>
      <c r="AA96" s="17">
        <v>1100.5916666666665</v>
      </c>
      <c r="AB96" s="18">
        <v>55.379166666666663</v>
      </c>
      <c r="AC96" s="17">
        <f t="shared" si="1"/>
        <v>125.24583333333362</v>
      </c>
      <c r="AD96" s="18">
        <f t="shared" si="1"/>
        <v>10.204166666666666</v>
      </c>
    </row>
    <row r="97" spans="1:30" x14ac:dyDescent="0.3">
      <c r="A97" s="10">
        <v>77</v>
      </c>
      <c r="B97" s="11" t="s">
        <v>107</v>
      </c>
      <c r="C97" s="12">
        <v>0</v>
      </c>
      <c r="D97" s="13">
        <v>0</v>
      </c>
      <c r="E97" s="12">
        <v>2.1999999999999997</v>
      </c>
      <c r="F97" s="13">
        <v>1.3333333333333333</v>
      </c>
      <c r="G97" s="12">
        <v>70.19</v>
      </c>
      <c r="H97" s="13">
        <v>6.666666666666667</v>
      </c>
      <c r="I97" s="12">
        <v>48.4</v>
      </c>
      <c r="J97" s="13">
        <v>5.666666666666667</v>
      </c>
      <c r="K97" s="12">
        <v>81.566666666666677</v>
      </c>
      <c r="L97" s="13">
        <v>8.6666666666666661</v>
      </c>
      <c r="M97" s="12">
        <v>241.17</v>
      </c>
      <c r="N97" s="13">
        <v>11</v>
      </c>
      <c r="O97" s="12">
        <v>3.3333333333333335</v>
      </c>
      <c r="P97" s="13">
        <v>2</v>
      </c>
      <c r="Q97" s="12">
        <v>27.486666666666665</v>
      </c>
      <c r="R97" s="13">
        <v>7</v>
      </c>
      <c r="S97" s="12">
        <v>172.44</v>
      </c>
      <c r="T97" s="13">
        <v>10</v>
      </c>
      <c r="U97" s="12">
        <v>120.80000000000001</v>
      </c>
      <c r="V97" s="13">
        <v>8.6666666666666661</v>
      </c>
      <c r="W97" s="12">
        <v>31.553333333333331</v>
      </c>
      <c r="X97" s="13">
        <v>2.6666666666666665</v>
      </c>
      <c r="Y97" s="14">
        <v>799.13999999999987</v>
      </c>
      <c r="Z97" s="15">
        <v>63.666666666666664</v>
      </c>
      <c r="AA97" s="12">
        <v>851.14</v>
      </c>
      <c r="AB97" s="13">
        <v>59.333333333333336</v>
      </c>
      <c r="AC97" s="12">
        <f t="shared" si="1"/>
        <v>-52.000000000000114</v>
      </c>
      <c r="AD97" s="13">
        <f t="shared" si="1"/>
        <v>4.3333333333333286</v>
      </c>
    </row>
    <row r="98" spans="1:30" ht="18.75" customHeight="1" x14ac:dyDescent="0.3">
      <c r="A98" s="16" t="s">
        <v>108</v>
      </c>
      <c r="B98" s="16"/>
      <c r="C98" s="17">
        <v>0</v>
      </c>
      <c r="D98" s="17">
        <v>0</v>
      </c>
      <c r="E98" s="17">
        <v>2.1999999999999997</v>
      </c>
      <c r="F98" s="17">
        <v>1.3333333333333333</v>
      </c>
      <c r="G98" s="17">
        <v>70.19</v>
      </c>
      <c r="H98" s="17">
        <v>6.666666666666667</v>
      </c>
      <c r="I98" s="17">
        <v>48.4</v>
      </c>
      <c r="J98" s="17">
        <v>5.666666666666667</v>
      </c>
      <c r="K98" s="17">
        <v>81.566666666666677</v>
      </c>
      <c r="L98" s="17">
        <v>8.6666666666666661</v>
      </c>
      <c r="M98" s="17">
        <v>241.17</v>
      </c>
      <c r="N98" s="17">
        <v>11</v>
      </c>
      <c r="O98" s="17">
        <v>3.3333333333333335</v>
      </c>
      <c r="P98" s="18">
        <v>2</v>
      </c>
      <c r="Q98" s="17">
        <v>27.486666666666665</v>
      </c>
      <c r="R98" s="17">
        <v>7</v>
      </c>
      <c r="S98" s="17">
        <v>172.44</v>
      </c>
      <c r="T98" s="17">
        <v>10</v>
      </c>
      <c r="U98" s="17">
        <v>120.80000000000001</v>
      </c>
      <c r="V98" s="17">
        <v>8.6666666666666661</v>
      </c>
      <c r="W98" s="17">
        <v>31.553333333333331</v>
      </c>
      <c r="X98" s="17">
        <v>2.6666666666666665</v>
      </c>
      <c r="Y98" s="17">
        <v>799.13999999999987</v>
      </c>
      <c r="Z98" s="17">
        <v>63.666666666666664</v>
      </c>
      <c r="AA98" s="17">
        <v>851.14</v>
      </c>
      <c r="AB98" s="18">
        <v>59.333333333333336</v>
      </c>
      <c r="AC98" s="17">
        <f t="shared" si="1"/>
        <v>-52.000000000000114</v>
      </c>
      <c r="AD98" s="18">
        <f t="shared" si="1"/>
        <v>4.3333333333333286</v>
      </c>
    </row>
    <row r="99" spans="1:30" ht="18.600000000000001" x14ac:dyDescent="0.3">
      <c r="A99" s="23" t="s">
        <v>109</v>
      </c>
      <c r="B99" s="23"/>
      <c r="C99" s="17">
        <v>13.546153846153846</v>
      </c>
      <c r="D99" s="17">
        <v>0.69230769230769229</v>
      </c>
      <c r="E99" s="17">
        <v>23.961538461538463</v>
      </c>
      <c r="F99" s="17">
        <v>1.5384615384615383</v>
      </c>
      <c r="G99" s="17">
        <v>81.720769230769235</v>
      </c>
      <c r="H99" s="17">
        <v>5.3076923076923075</v>
      </c>
      <c r="I99" s="17">
        <v>146.3692307692308</v>
      </c>
      <c r="J99" s="17">
        <v>7.5384615384615383</v>
      </c>
      <c r="K99" s="17">
        <v>138.98461538461538</v>
      </c>
      <c r="L99" s="17">
        <v>7.4615384615384617</v>
      </c>
      <c r="M99" s="17">
        <v>197.3930769230769</v>
      </c>
      <c r="N99" s="17">
        <v>9.4615384615384617</v>
      </c>
      <c r="O99" s="17">
        <v>162.3474358974359</v>
      </c>
      <c r="P99" s="18">
        <v>8.2692307692307683</v>
      </c>
      <c r="Q99" s="17">
        <v>85.335384615384626</v>
      </c>
      <c r="R99" s="17">
        <v>7.3076923076923066</v>
      </c>
      <c r="S99" s="17">
        <v>258.3169230769231</v>
      </c>
      <c r="T99" s="17">
        <v>10.153846153846153</v>
      </c>
      <c r="U99" s="17">
        <v>89.342307692307685</v>
      </c>
      <c r="V99" s="17">
        <v>7.0000000000000009</v>
      </c>
      <c r="W99" s="17">
        <v>8.9507692307692306</v>
      </c>
      <c r="X99" s="17">
        <v>0.46153846153846156</v>
      </c>
      <c r="Y99" s="17">
        <v>1206.2682051282054</v>
      </c>
      <c r="Z99" s="17">
        <v>65.192307692307693</v>
      </c>
      <c r="AA99" s="17">
        <v>1077.9247058823528</v>
      </c>
      <c r="AB99" s="18">
        <v>56.194852941176471</v>
      </c>
      <c r="AC99" s="17">
        <f t="shared" si="1"/>
        <v>128.34349924585263</v>
      </c>
      <c r="AD99" s="18">
        <f t="shared" si="1"/>
        <v>8.9974547511312224</v>
      </c>
    </row>
    <row r="100" spans="1:30" ht="21.6" x14ac:dyDescent="0.3">
      <c r="A100" s="16" t="s">
        <v>110</v>
      </c>
      <c r="B100" s="16"/>
      <c r="C100" s="17">
        <v>2.7540530303030306</v>
      </c>
      <c r="D100" s="17">
        <v>0.2353896103896104</v>
      </c>
      <c r="E100" s="17">
        <v>11.889827355184499</v>
      </c>
      <c r="F100" s="17">
        <v>1.0281385281385282</v>
      </c>
      <c r="G100" s="17">
        <v>68.92629097093382</v>
      </c>
      <c r="H100" s="17">
        <v>4.0530303030303028</v>
      </c>
      <c r="I100" s="17">
        <v>110.37386827458259</v>
      </c>
      <c r="J100" s="17">
        <v>5.8409090909090908</v>
      </c>
      <c r="K100" s="17">
        <v>118.30893392321963</v>
      </c>
      <c r="L100" s="17">
        <v>6.7601731601731601</v>
      </c>
      <c r="M100" s="17">
        <v>151.2321727370753</v>
      </c>
      <c r="N100" s="17">
        <v>8.5346320346320361</v>
      </c>
      <c r="O100" s="17">
        <v>198.21920594556957</v>
      </c>
      <c r="P100" s="18">
        <v>9.7627705627705623</v>
      </c>
      <c r="Q100" s="17">
        <v>168.54899646529515</v>
      </c>
      <c r="R100" s="17">
        <v>9.6582251082251105</v>
      </c>
      <c r="S100" s="17">
        <v>220.79530884699705</v>
      </c>
      <c r="T100" s="17">
        <v>10.835497835497838</v>
      </c>
      <c r="U100" s="17">
        <v>140.71023049028889</v>
      </c>
      <c r="V100" s="17">
        <v>7.8619047619047624</v>
      </c>
      <c r="W100" s="17">
        <v>15.244551329622757</v>
      </c>
      <c r="X100" s="17">
        <v>1.0783549783549784</v>
      </c>
      <c r="Y100" s="17">
        <v>1207.0034393690721</v>
      </c>
      <c r="Z100" s="17">
        <v>65.649025974025989</v>
      </c>
      <c r="AA100" s="17">
        <v>1081.4433914086615</v>
      </c>
      <c r="AB100" s="18">
        <v>58.588095238095235</v>
      </c>
      <c r="AC100" s="17">
        <f t="shared" si="1"/>
        <v>125.56004796041066</v>
      </c>
      <c r="AD100" s="18">
        <f t="shared" si="1"/>
        <v>7.0609307359307536</v>
      </c>
    </row>
    <row r="102" spans="1:30" x14ac:dyDescent="0.3">
      <c r="Y102" s="24"/>
      <c r="Z102" s="25"/>
    </row>
  </sheetData>
  <mergeCells count="35">
    <mergeCell ref="A96:B96"/>
    <mergeCell ref="A98:B98"/>
    <mergeCell ref="A99:B99"/>
    <mergeCell ref="A100:B100"/>
    <mergeCell ref="AA3:AB3"/>
    <mergeCell ref="AC3:AD3"/>
    <mergeCell ref="A62:B62"/>
    <mergeCell ref="A69:B69"/>
    <mergeCell ref="A70:B70"/>
    <mergeCell ref="A80:B80"/>
    <mergeCell ref="A86:B86"/>
    <mergeCell ref="A87:B87"/>
    <mergeCell ref="A31:B31"/>
    <mergeCell ref="A36:B36"/>
    <mergeCell ref="A37:B37"/>
    <mergeCell ref="A47:B47"/>
    <mergeCell ref="A54:B54"/>
    <mergeCell ref="A55:B55"/>
    <mergeCell ref="W3:X3"/>
    <mergeCell ref="Y3:Z3"/>
    <mergeCell ref="A13:B13"/>
    <mergeCell ref="A20:B20"/>
    <mergeCell ref="A21:B21"/>
    <mergeCell ref="K3:L3"/>
    <mergeCell ref="M3:N3"/>
    <mergeCell ref="O3:P3"/>
    <mergeCell ref="Q3:R3"/>
    <mergeCell ref="S3:T3"/>
    <mergeCell ref="U3:V3"/>
    <mergeCell ref="A3:A4"/>
    <mergeCell ref="B3:B4"/>
    <mergeCell ref="C3:D3"/>
    <mergeCell ref="E3:F3"/>
    <mergeCell ref="G3:H3"/>
    <mergeCell ref="I3:J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38FC4-03D9-42E8-ABAF-3567CD6BF0DC}">
  <dimension ref="A3:AD19"/>
  <sheetViews>
    <sheetView tabSelected="1" topLeftCell="A2" workbookViewId="0">
      <pane xSplit="2" ySplit="3" topLeftCell="C6" activePane="bottomRight" state="frozen"/>
      <selection activeCell="A2" sqref="A2"/>
      <selection pane="topRight" activeCell="C2" sqref="C2"/>
      <selection pane="bottomLeft" activeCell="A5" sqref="A5"/>
      <selection pane="bottomRight" activeCell="G9" sqref="G9"/>
    </sheetView>
  </sheetViews>
  <sheetFormatPr baseColWidth="10" defaultColWidth="11.44140625" defaultRowHeight="14.4" x14ac:dyDescent="0.3"/>
  <cols>
    <col min="1" max="1" width="3.33203125" style="6" customWidth="1"/>
    <col min="2" max="2" width="12" style="6" customWidth="1"/>
    <col min="3" max="17" width="4.77734375" style="6" customWidth="1"/>
    <col min="18" max="18" width="3.5546875" style="6" customWidth="1"/>
    <col min="19" max="19" width="4.77734375" style="6" customWidth="1"/>
    <col min="20" max="20" width="4.109375" style="6" customWidth="1"/>
    <col min="21" max="21" width="4.77734375" style="6" customWidth="1"/>
    <col min="22" max="22" width="3.5546875" style="6" customWidth="1"/>
    <col min="23" max="23" width="4.77734375" style="6" customWidth="1"/>
    <col min="24" max="24" width="3.33203125" style="6" customWidth="1"/>
    <col min="25" max="25" width="7" style="6" customWidth="1"/>
    <col min="26" max="26" width="4.44140625" style="6" customWidth="1"/>
    <col min="27" max="27" width="7" style="6" customWidth="1"/>
    <col min="28" max="28" width="4.5546875" style="6" customWidth="1"/>
    <col min="29" max="29" width="7" style="6" customWidth="1"/>
    <col min="30" max="30" width="3.33203125" style="6" customWidth="1"/>
    <col min="31" max="254" width="11.44140625" style="6"/>
    <col min="255" max="255" width="4.44140625" style="6" customWidth="1"/>
    <col min="256" max="256" width="31.88671875" style="6" customWidth="1"/>
    <col min="257" max="261" width="5.6640625" style="6" customWidth="1"/>
    <col min="262" max="262" width="5.88671875" style="6" customWidth="1"/>
    <col min="263" max="268" width="5.6640625" style="6" customWidth="1"/>
    <col min="269" max="269" width="6.6640625" style="6" customWidth="1"/>
    <col min="270" max="280" width="5.6640625" style="6" customWidth="1"/>
    <col min="281" max="282" width="7.109375" style="6" customWidth="1"/>
    <col min="283" max="510" width="11.44140625" style="6"/>
    <col min="511" max="511" width="4.44140625" style="6" customWidth="1"/>
    <col min="512" max="512" width="31.88671875" style="6" customWidth="1"/>
    <col min="513" max="517" width="5.6640625" style="6" customWidth="1"/>
    <col min="518" max="518" width="5.88671875" style="6" customWidth="1"/>
    <col min="519" max="524" width="5.6640625" style="6" customWidth="1"/>
    <col min="525" max="525" width="6.6640625" style="6" customWidth="1"/>
    <col min="526" max="536" width="5.6640625" style="6" customWidth="1"/>
    <col min="537" max="538" width="7.109375" style="6" customWidth="1"/>
    <col min="539" max="766" width="11.44140625" style="6"/>
    <col min="767" max="767" width="4.44140625" style="6" customWidth="1"/>
    <col min="768" max="768" width="31.88671875" style="6" customWidth="1"/>
    <col min="769" max="773" width="5.6640625" style="6" customWidth="1"/>
    <col min="774" max="774" width="5.88671875" style="6" customWidth="1"/>
    <col min="775" max="780" width="5.6640625" style="6" customWidth="1"/>
    <col min="781" max="781" width="6.6640625" style="6" customWidth="1"/>
    <col min="782" max="792" width="5.6640625" style="6" customWidth="1"/>
    <col min="793" max="794" width="7.109375" style="6" customWidth="1"/>
    <col min="795" max="1022" width="11.44140625" style="6"/>
    <col min="1023" max="1023" width="4.44140625" style="6" customWidth="1"/>
    <col min="1024" max="1024" width="31.88671875" style="6" customWidth="1"/>
    <col min="1025" max="1029" width="5.6640625" style="6" customWidth="1"/>
    <col min="1030" max="1030" width="5.88671875" style="6" customWidth="1"/>
    <col min="1031" max="1036" width="5.6640625" style="6" customWidth="1"/>
    <col min="1037" max="1037" width="6.6640625" style="6" customWidth="1"/>
    <col min="1038" max="1048" width="5.6640625" style="6" customWidth="1"/>
    <col min="1049" max="1050" width="7.109375" style="6" customWidth="1"/>
    <col min="1051" max="1278" width="11.44140625" style="6"/>
    <col min="1279" max="1279" width="4.44140625" style="6" customWidth="1"/>
    <col min="1280" max="1280" width="31.88671875" style="6" customWidth="1"/>
    <col min="1281" max="1285" width="5.6640625" style="6" customWidth="1"/>
    <col min="1286" max="1286" width="5.88671875" style="6" customWidth="1"/>
    <col min="1287" max="1292" width="5.6640625" style="6" customWidth="1"/>
    <col min="1293" max="1293" width="6.6640625" style="6" customWidth="1"/>
    <col min="1294" max="1304" width="5.6640625" style="6" customWidth="1"/>
    <col min="1305" max="1306" width="7.109375" style="6" customWidth="1"/>
    <col min="1307" max="1534" width="11.44140625" style="6"/>
    <col min="1535" max="1535" width="4.44140625" style="6" customWidth="1"/>
    <col min="1536" max="1536" width="31.88671875" style="6" customWidth="1"/>
    <col min="1537" max="1541" width="5.6640625" style="6" customWidth="1"/>
    <col min="1542" max="1542" width="5.88671875" style="6" customWidth="1"/>
    <col min="1543" max="1548" width="5.6640625" style="6" customWidth="1"/>
    <col min="1549" max="1549" width="6.6640625" style="6" customWidth="1"/>
    <col min="1550" max="1560" width="5.6640625" style="6" customWidth="1"/>
    <col min="1561" max="1562" width="7.109375" style="6" customWidth="1"/>
    <col min="1563" max="1790" width="11.44140625" style="6"/>
    <col min="1791" max="1791" width="4.44140625" style="6" customWidth="1"/>
    <col min="1792" max="1792" width="31.88671875" style="6" customWidth="1"/>
    <col min="1793" max="1797" width="5.6640625" style="6" customWidth="1"/>
    <col min="1798" max="1798" width="5.88671875" style="6" customWidth="1"/>
    <col min="1799" max="1804" width="5.6640625" style="6" customWidth="1"/>
    <col min="1805" max="1805" width="6.6640625" style="6" customWidth="1"/>
    <col min="1806" max="1816" width="5.6640625" style="6" customWidth="1"/>
    <col min="1817" max="1818" width="7.109375" style="6" customWidth="1"/>
    <col min="1819" max="2046" width="11.44140625" style="6"/>
    <col min="2047" max="2047" width="4.44140625" style="6" customWidth="1"/>
    <col min="2048" max="2048" width="31.88671875" style="6" customWidth="1"/>
    <col min="2049" max="2053" width="5.6640625" style="6" customWidth="1"/>
    <col min="2054" max="2054" width="5.88671875" style="6" customWidth="1"/>
    <col min="2055" max="2060" width="5.6640625" style="6" customWidth="1"/>
    <col min="2061" max="2061" width="6.6640625" style="6" customWidth="1"/>
    <col min="2062" max="2072" width="5.6640625" style="6" customWidth="1"/>
    <col min="2073" max="2074" width="7.109375" style="6" customWidth="1"/>
    <col min="2075" max="2302" width="11.44140625" style="6"/>
    <col min="2303" max="2303" width="4.44140625" style="6" customWidth="1"/>
    <col min="2304" max="2304" width="31.88671875" style="6" customWidth="1"/>
    <col min="2305" max="2309" width="5.6640625" style="6" customWidth="1"/>
    <col min="2310" max="2310" width="5.88671875" style="6" customWidth="1"/>
    <col min="2311" max="2316" width="5.6640625" style="6" customWidth="1"/>
    <col min="2317" max="2317" width="6.6640625" style="6" customWidth="1"/>
    <col min="2318" max="2328" width="5.6640625" style="6" customWidth="1"/>
    <col min="2329" max="2330" width="7.109375" style="6" customWidth="1"/>
    <col min="2331" max="2558" width="11.44140625" style="6"/>
    <col min="2559" max="2559" width="4.44140625" style="6" customWidth="1"/>
    <col min="2560" max="2560" width="31.88671875" style="6" customWidth="1"/>
    <col min="2561" max="2565" width="5.6640625" style="6" customWidth="1"/>
    <col min="2566" max="2566" width="5.88671875" style="6" customWidth="1"/>
    <col min="2567" max="2572" width="5.6640625" style="6" customWidth="1"/>
    <col min="2573" max="2573" width="6.6640625" style="6" customWidth="1"/>
    <col min="2574" max="2584" width="5.6640625" style="6" customWidth="1"/>
    <col min="2585" max="2586" width="7.109375" style="6" customWidth="1"/>
    <col min="2587" max="2814" width="11.44140625" style="6"/>
    <col min="2815" max="2815" width="4.44140625" style="6" customWidth="1"/>
    <col min="2816" max="2816" width="31.88671875" style="6" customWidth="1"/>
    <col min="2817" max="2821" width="5.6640625" style="6" customWidth="1"/>
    <col min="2822" max="2822" width="5.88671875" style="6" customWidth="1"/>
    <col min="2823" max="2828" width="5.6640625" style="6" customWidth="1"/>
    <col min="2829" max="2829" width="6.6640625" style="6" customWidth="1"/>
    <col min="2830" max="2840" width="5.6640625" style="6" customWidth="1"/>
    <col min="2841" max="2842" width="7.109375" style="6" customWidth="1"/>
    <col min="2843" max="3070" width="11.44140625" style="6"/>
    <col min="3071" max="3071" width="4.44140625" style="6" customWidth="1"/>
    <col min="3072" max="3072" width="31.88671875" style="6" customWidth="1"/>
    <col min="3073" max="3077" width="5.6640625" style="6" customWidth="1"/>
    <col min="3078" max="3078" width="5.88671875" style="6" customWidth="1"/>
    <col min="3079" max="3084" width="5.6640625" style="6" customWidth="1"/>
    <col min="3085" max="3085" width="6.6640625" style="6" customWidth="1"/>
    <col min="3086" max="3096" width="5.6640625" style="6" customWidth="1"/>
    <col min="3097" max="3098" width="7.109375" style="6" customWidth="1"/>
    <col min="3099" max="3326" width="11.44140625" style="6"/>
    <col min="3327" max="3327" width="4.44140625" style="6" customWidth="1"/>
    <col min="3328" max="3328" width="31.88671875" style="6" customWidth="1"/>
    <col min="3329" max="3333" width="5.6640625" style="6" customWidth="1"/>
    <col min="3334" max="3334" width="5.88671875" style="6" customWidth="1"/>
    <col min="3335" max="3340" width="5.6640625" style="6" customWidth="1"/>
    <col min="3341" max="3341" width="6.6640625" style="6" customWidth="1"/>
    <col min="3342" max="3352" width="5.6640625" style="6" customWidth="1"/>
    <col min="3353" max="3354" width="7.109375" style="6" customWidth="1"/>
    <col min="3355" max="3582" width="11.44140625" style="6"/>
    <col min="3583" max="3583" width="4.44140625" style="6" customWidth="1"/>
    <col min="3584" max="3584" width="31.88671875" style="6" customWidth="1"/>
    <col min="3585" max="3589" width="5.6640625" style="6" customWidth="1"/>
    <col min="3590" max="3590" width="5.88671875" style="6" customWidth="1"/>
    <col min="3591" max="3596" width="5.6640625" style="6" customWidth="1"/>
    <col min="3597" max="3597" width="6.6640625" style="6" customWidth="1"/>
    <col min="3598" max="3608" width="5.6640625" style="6" customWidth="1"/>
    <col min="3609" max="3610" width="7.109375" style="6" customWidth="1"/>
    <col min="3611" max="3838" width="11.44140625" style="6"/>
    <col min="3839" max="3839" width="4.44140625" style="6" customWidth="1"/>
    <col min="3840" max="3840" width="31.88671875" style="6" customWidth="1"/>
    <col min="3841" max="3845" width="5.6640625" style="6" customWidth="1"/>
    <col min="3846" max="3846" width="5.88671875" style="6" customWidth="1"/>
    <col min="3847" max="3852" width="5.6640625" style="6" customWidth="1"/>
    <col min="3853" max="3853" width="6.6640625" style="6" customWidth="1"/>
    <col min="3854" max="3864" width="5.6640625" style="6" customWidth="1"/>
    <col min="3865" max="3866" width="7.109375" style="6" customWidth="1"/>
    <col min="3867" max="4094" width="11.44140625" style="6"/>
    <col min="4095" max="4095" width="4.44140625" style="6" customWidth="1"/>
    <col min="4096" max="4096" width="31.88671875" style="6" customWidth="1"/>
    <col min="4097" max="4101" width="5.6640625" style="6" customWidth="1"/>
    <col min="4102" max="4102" width="5.88671875" style="6" customWidth="1"/>
    <col min="4103" max="4108" width="5.6640625" style="6" customWidth="1"/>
    <col min="4109" max="4109" width="6.6640625" style="6" customWidth="1"/>
    <col min="4110" max="4120" width="5.6640625" style="6" customWidth="1"/>
    <col min="4121" max="4122" width="7.109375" style="6" customWidth="1"/>
    <col min="4123" max="4350" width="11.44140625" style="6"/>
    <col min="4351" max="4351" width="4.44140625" style="6" customWidth="1"/>
    <col min="4352" max="4352" width="31.88671875" style="6" customWidth="1"/>
    <col min="4353" max="4357" width="5.6640625" style="6" customWidth="1"/>
    <col min="4358" max="4358" width="5.88671875" style="6" customWidth="1"/>
    <col min="4359" max="4364" width="5.6640625" style="6" customWidth="1"/>
    <col min="4365" max="4365" width="6.6640625" style="6" customWidth="1"/>
    <col min="4366" max="4376" width="5.6640625" style="6" customWidth="1"/>
    <col min="4377" max="4378" width="7.109375" style="6" customWidth="1"/>
    <col min="4379" max="4606" width="11.44140625" style="6"/>
    <col min="4607" max="4607" width="4.44140625" style="6" customWidth="1"/>
    <col min="4608" max="4608" width="31.88671875" style="6" customWidth="1"/>
    <col min="4609" max="4613" width="5.6640625" style="6" customWidth="1"/>
    <col min="4614" max="4614" width="5.88671875" style="6" customWidth="1"/>
    <col min="4615" max="4620" width="5.6640625" style="6" customWidth="1"/>
    <col min="4621" max="4621" width="6.6640625" style="6" customWidth="1"/>
    <col min="4622" max="4632" width="5.6640625" style="6" customWidth="1"/>
    <col min="4633" max="4634" width="7.109375" style="6" customWidth="1"/>
    <col min="4635" max="4862" width="11.44140625" style="6"/>
    <col min="4863" max="4863" width="4.44140625" style="6" customWidth="1"/>
    <col min="4864" max="4864" width="31.88671875" style="6" customWidth="1"/>
    <col min="4865" max="4869" width="5.6640625" style="6" customWidth="1"/>
    <col min="4870" max="4870" width="5.88671875" style="6" customWidth="1"/>
    <col min="4871" max="4876" width="5.6640625" style="6" customWidth="1"/>
    <col min="4877" max="4877" width="6.6640625" style="6" customWidth="1"/>
    <col min="4878" max="4888" width="5.6640625" style="6" customWidth="1"/>
    <col min="4889" max="4890" width="7.109375" style="6" customWidth="1"/>
    <col min="4891" max="5118" width="11.44140625" style="6"/>
    <col min="5119" max="5119" width="4.44140625" style="6" customWidth="1"/>
    <col min="5120" max="5120" width="31.88671875" style="6" customWidth="1"/>
    <col min="5121" max="5125" width="5.6640625" style="6" customWidth="1"/>
    <col min="5126" max="5126" width="5.88671875" style="6" customWidth="1"/>
    <col min="5127" max="5132" width="5.6640625" style="6" customWidth="1"/>
    <col min="5133" max="5133" width="6.6640625" style="6" customWidth="1"/>
    <col min="5134" max="5144" width="5.6640625" style="6" customWidth="1"/>
    <col min="5145" max="5146" width="7.109375" style="6" customWidth="1"/>
    <col min="5147" max="5374" width="11.44140625" style="6"/>
    <col min="5375" max="5375" width="4.44140625" style="6" customWidth="1"/>
    <col min="5376" max="5376" width="31.88671875" style="6" customWidth="1"/>
    <col min="5377" max="5381" width="5.6640625" style="6" customWidth="1"/>
    <col min="5382" max="5382" width="5.88671875" style="6" customWidth="1"/>
    <col min="5383" max="5388" width="5.6640625" style="6" customWidth="1"/>
    <col min="5389" max="5389" width="6.6640625" style="6" customWidth="1"/>
    <col min="5390" max="5400" width="5.6640625" style="6" customWidth="1"/>
    <col min="5401" max="5402" width="7.109375" style="6" customWidth="1"/>
    <col min="5403" max="5630" width="11.44140625" style="6"/>
    <col min="5631" max="5631" width="4.44140625" style="6" customWidth="1"/>
    <col min="5632" max="5632" width="31.88671875" style="6" customWidth="1"/>
    <col min="5633" max="5637" width="5.6640625" style="6" customWidth="1"/>
    <col min="5638" max="5638" width="5.88671875" style="6" customWidth="1"/>
    <col min="5639" max="5644" width="5.6640625" style="6" customWidth="1"/>
    <col min="5645" max="5645" width="6.6640625" style="6" customWidth="1"/>
    <col min="5646" max="5656" width="5.6640625" style="6" customWidth="1"/>
    <col min="5657" max="5658" width="7.109375" style="6" customWidth="1"/>
    <col min="5659" max="5886" width="11.44140625" style="6"/>
    <col min="5887" max="5887" width="4.44140625" style="6" customWidth="1"/>
    <col min="5888" max="5888" width="31.88671875" style="6" customWidth="1"/>
    <col min="5889" max="5893" width="5.6640625" style="6" customWidth="1"/>
    <col min="5894" max="5894" width="5.88671875" style="6" customWidth="1"/>
    <col min="5895" max="5900" width="5.6640625" style="6" customWidth="1"/>
    <col min="5901" max="5901" width="6.6640625" style="6" customWidth="1"/>
    <col min="5902" max="5912" width="5.6640625" style="6" customWidth="1"/>
    <col min="5913" max="5914" width="7.109375" style="6" customWidth="1"/>
    <col min="5915" max="6142" width="11.44140625" style="6"/>
    <col min="6143" max="6143" width="4.44140625" style="6" customWidth="1"/>
    <col min="6144" max="6144" width="31.88671875" style="6" customWidth="1"/>
    <col min="6145" max="6149" width="5.6640625" style="6" customWidth="1"/>
    <col min="6150" max="6150" width="5.88671875" style="6" customWidth="1"/>
    <col min="6151" max="6156" width="5.6640625" style="6" customWidth="1"/>
    <col min="6157" max="6157" width="6.6640625" style="6" customWidth="1"/>
    <col min="6158" max="6168" width="5.6640625" style="6" customWidth="1"/>
    <col min="6169" max="6170" width="7.109375" style="6" customWidth="1"/>
    <col min="6171" max="6398" width="11.44140625" style="6"/>
    <col min="6399" max="6399" width="4.44140625" style="6" customWidth="1"/>
    <col min="6400" max="6400" width="31.88671875" style="6" customWidth="1"/>
    <col min="6401" max="6405" width="5.6640625" style="6" customWidth="1"/>
    <col min="6406" max="6406" width="5.88671875" style="6" customWidth="1"/>
    <col min="6407" max="6412" width="5.6640625" style="6" customWidth="1"/>
    <col min="6413" max="6413" width="6.6640625" style="6" customWidth="1"/>
    <col min="6414" max="6424" width="5.6640625" style="6" customWidth="1"/>
    <col min="6425" max="6426" width="7.109375" style="6" customWidth="1"/>
    <col min="6427" max="6654" width="11.44140625" style="6"/>
    <col min="6655" max="6655" width="4.44140625" style="6" customWidth="1"/>
    <col min="6656" max="6656" width="31.88671875" style="6" customWidth="1"/>
    <col min="6657" max="6661" width="5.6640625" style="6" customWidth="1"/>
    <col min="6662" max="6662" width="5.88671875" style="6" customWidth="1"/>
    <col min="6663" max="6668" width="5.6640625" style="6" customWidth="1"/>
    <col min="6669" max="6669" width="6.6640625" style="6" customWidth="1"/>
    <col min="6670" max="6680" width="5.6640625" style="6" customWidth="1"/>
    <col min="6681" max="6682" width="7.109375" style="6" customWidth="1"/>
    <col min="6683" max="6910" width="11.44140625" style="6"/>
    <col min="6911" max="6911" width="4.44140625" style="6" customWidth="1"/>
    <col min="6912" max="6912" width="31.88671875" style="6" customWidth="1"/>
    <col min="6913" max="6917" width="5.6640625" style="6" customWidth="1"/>
    <col min="6918" max="6918" width="5.88671875" style="6" customWidth="1"/>
    <col min="6919" max="6924" width="5.6640625" style="6" customWidth="1"/>
    <col min="6925" max="6925" width="6.6640625" style="6" customWidth="1"/>
    <col min="6926" max="6936" width="5.6640625" style="6" customWidth="1"/>
    <col min="6937" max="6938" width="7.109375" style="6" customWidth="1"/>
    <col min="6939" max="7166" width="11.44140625" style="6"/>
    <col min="7167" max="7167" width="4.44140625" style="6" customWidth="1"/>
    <col min="7168" max="7168" width="31.88671875" style="6" customWidth="1"/>
    <col min="7169" max="7173" width="5.6640625" style="6" customWidth="1"/>
    <col min="7174" max="7174" width="5.88671875" style="6" customWidth="1"/>
    <col min="7175" max="7180" width="5.6640625" style="6" customWidth="1"/>
    <col min="7181" max="7181" width="6.6640625" style="6" customWidth="1"/>
    <col min="7182" max="7192" width="5.6640625" style="6" customWidth="1"/>
    <col min="7193" max="7194" width="7.109375" style="6" customWidth="1"/>
    <col min="7195" max="7422" width="11.44140625" style="6"/>
    <col min="7423" max="7423" width="4.44140625" style="6" customWidth="1"/>
    <col min="7424" max="7424" width="31.88671875" style="6" customWidth="1"/>
    <col min="7425" max="7429" width="5.6640625" style="6" customWidth="1"/>
    <col min="7430" max="7430" width="5.88671875" style="6" customWidth="1"/>
    <col min="7431" max="7436" width="5.6640625" style="6" customWidth="1"/>
    <col min="7437" max="7437" width="6.6640625" style="6" customWidth="1"/>
    <col min="7438" max="7448" width="5.6640625" style="6" customWidth="1"/>
    <col min="7449" max="7450" width="7.109375" style="6" customWidth="1"/>
    <col min="7451" max="7678" width="11.44140625" style="6"/>
    <col min="7679" max="7679" width="4.44140625" style="6" customWidth="1"/>
    <col min="7680" max="7680" width="31.88671875" style="6" customWidth="1"/>
    <col min="7681" max="7685" width="5.6640625" style="6" customWidth="1"/>
    <col min="7686" max="7686" width="5.88671875" style="6" customWidth="1"/>
    <col min="7687" max="7692" width="5.6640625" style="6" customWidth="1"/>
    <col min="7693" max="7693" width="6.6640625" style="6" customWidth="1"/>
    <col min="7694" max="7704" width="5.6640625" style="6" customWidth="1"/>
    <col min="7705" max="7706" width="7.109375" style="6" customWidth="1"/>
    <col min="7707" max="7934" width="11.44140625" style="6"/>
    <col min="7935" max="7935" width="4.44140625" style="6" customWidth="1"/>
    <col min="7936" max="7936" width="31.88671875" style="6" customWidth="1"/>
    <col min="7937" max="7941" width="5.6640625" style="6" customWidth="1"/>
    <col min="7942" max="7942" width="5.88671875" style="6" customWidth="1"/>
    <col min="7943" max="7948" width="5.6640625" style="6" customWidth="1"/>
    <col min="7949" max="7949" width="6.6640625" style="6" customWidth="1"/>
    <col min="7950" max="7960" width="5.6640625" style="6" customWidth="1"/>
    <col min="7961" max="7962" width="7.109375" style="6" customWidth="1"/>
    <col min="7963" max="8190" width="11.44140625" style="6"/>
    <col min="8191" max="8191" width="4.44140625" style="6" customWidth="1"/>
    <col min="8192" max="8192" width="31.88671875" style="6" customWidth="1"/>
    <col min="8193" max="8197" width="5.6640625" style="6" customWidth="1"/>
    <col min="8198" max="8198" width="5.88671875" style="6" customWidth="1"/>
    <col min="8199" max="8204" width="5.6640625" style="6" customWidth="1"/>
    <col min="8205" max="8205" width="6.6640625" style="6" customWidth="1"/>
    <col min="8206" max="8216" width="5.6640625" style="6" customWidth="1"/>
    <col min="8217" max="8218" width="7.109375" style="6" customWidth="1"/>
    <col min="8219" max="8446" width="11.44140625" style="6"/>
    <col min="8447" max="8447" width="4.44140625" style="6" customWidth="1"/>
    <col min="8448" max="8448" width="31.88671875" style="6" customWidth="1"/>
    <col min="8449" max="8453" width="5.6640625" style="6" customWidth="1"/>
    <col min="8454" max="8454" width="5.88671875" style="6" customWidth="1"/>
    <col min="8455" max="8460" width="5.6640625" style="6" customWidth="1"/>
    <col min="8461" max="8461" width="6.6640625" style="6" customWidth="1"/>
    <col min="8462" max="8472" width="5.6640625" style="6" customWidth="1"/>
    <col min="8473" max="8474" width="7.109375" style="6" customWidth="1"/>
    <col min="8475" max="8702" width="11.44140625" style="6"/>
    <col min="8703" max="8703" width="4.44140625" style="6" customWidth="1"/>
    <col min="8704" max="8704" width="31.88671875" style="6" customWidth="1"/>
    <col min="8705" max="8709" width="5.6640625" style="6" customWidth="1"/>
    <col min="8710" max="8710" width="5.88671875" style="6" customWidth="1"/>
    <col min="8711" max="8716" width="5.6640625" style="6" customWidth="1"/>
    <col min="8717" max="8717" width="6.6640625" style="6" customWidth="1"/>
    <col min="8718" max="8728" width="5.6640625" style="6" customWidth="1"/>
    <col min="8729" max="8730" width="7.109375" style="6" customWidth="1"/>
    <col min="8731" max="8958" width="11.44140625" style="6"/>
    <col min="8959" max="8959" width="4.44140625" style="6" customWidth="1"/>
    <col min="8960" max="8960" width="31.88671875" style="6" customWidth="1"/>
    <col min="8961" max="8965" width="5.6640625" style="6" customWidth="1"/>
    <col min="8966" max="8966" width="5.88671875" style="6" customWidth="1"/>
    <col min="8967" max="8972" width="5.6640625" style="6" customWidth="1"/>
    <col min="8973" max="8973" width="6.6640625" style="6" customWidth="1"/>
    <col min="8974" max="8984" width="5.6640625" style="6" customWidth="1"/>
    <col min="8985" max="8986" width="7.109375" style="6" customWidth="1"/>
    <col min="8987" max="9214" width="11.44140625" style="6"/>
    <col min="9215" max="9215" width="4.44140625" style="6" customWidth="1"/>
    <col min="9216" max="9216" width="31.88671875" style="6" customWidth="1"/>
    <col min="9217" max="9221" width="5.6640625" style="6" customWidth="1"/>
    <col min="9222" max="9222" width="5.88671875" style="6" customWidth="1"/>
    <col min="9223" max="9228" width="5.6640625" style="6" customWidth="1"/>
    <col min="9229" max="9229" width="6.6640625" style="6" customWidth="1"/>
    <col min="9230" max="9240" width="5.6640625" style="6" customWidth="1"/>
    <col min="9241" max="9242" width="7.109375" style="6" customWidth="1"/>
    <col min="9243" max="9470" width="11.44140625" style="6"/>
    <col min="9471" max="9471" width="4.44140625" style="6" customWidth="1"/>
    <col min="9472" max="9472" width="31.88671875" style="6" customWidth="1"/>
    <col min="9473" max="9477" width="5.6640625" style="6" customWidth="1"/>
    <col min="9478" max="9478" width="5.88671875" style="6" customWidth="1"/>
    <col min="9479" max="9484" width="5.6640625" style="6" customWidth="1"/>
    <col min="9485" max="9485" width="6.6640625" style="6" customWidth="1"/>
    <col min="9486" max="9496" width="5.6640625" style="6" customWidth="1"/>
    <col min="9497" max="9498" width="7.109375" style="6" customWidth="1"/>
    <col min="9499" max="9726" width="11.44140625" style="6"/>
    <col min="9727" max="9727" width="4.44140625" style="6" customWidth="1"/>
    <col min="9728" max="9728" width="31.88671875" style="6" customWidth="1"/>
    <col min="9729" max="9733" width="5.6640625" style="6" customWidth="1"/>
    <col min="9734" max="9734" width="5.88671875" style="6" customWidth="1"/>
    <col min="9735" max="9740" width="5.6640625" style="6" customWidth="1"/>
    <col min="9741" max="9741" width="6.6640625" style="6" customWidth="1"/>
    <col min="9742" max="9752" width="5.6640625" style="6" customWidth="1"/>
    <col min="9753" max="9754" width="7.109375" style="6" customWidth="1"/>
    <col min="9755" max="9982" width="11.44140625" style="6"/>
    <col min="9983" max="9983" width="4.44140625" style="6" customWidth="1"/>
    <col min="9984" max="9984" width="31.88671875" style="6" customWidth="1"/>
    <col min="9985" max="9989" width="5.6640625" style="6" customWidth="1"/>
    <col min="9990" max="9990" width="5.88671875" style="6" customWidth="1"/>
    <col min="9991" max="9996" width="5.6640625" style="6" customWidth="1"/>
    <col min="9997" max="9997" width="6.6640625" style="6" customWidth="1"/>
    <col min="9998" max="10008" width="5.6640625" style="6" customWidth="1"/>
    <col min="10009" max="10010" width="7.109375" style="6" customWidth="1"/>
    <col min="10011" max="10238" width="11.44140625" style="6"/>
    <col min="10239" max="10239" width="4.44140625" style="6" customWidth="1"/>
    <col min="10240" max="10240" width="31.88671875" style="6" customWidth="1"/>
    <col min="10241" max="10245" width="5.6640625" style="6" customWidth="1"/>
    <col min="10246" max="10246" width="5.88671875" style="6" customWidth="1"/>
    <col min="10247" max="10252" width="5.6640625" style="6" customWidth="1"/>
    <col min="10253" max="10253" width="6.6640625" style="6" customWidth="1"/>
    <col min="10254" max="10264" width="5.6640625" style="6" customWidth="1"/>
    <col min="10265" max="10266" width="7.109375" style="6" customWidth="1"/>
    <col min="10267" max="10494" width="11.44140625" style="6"/>
    <col min="10495" max="10495" width="4.44140625" style="6" customWidth="1"/>
    <col min="10496" max="10496" width="31.88671875" style="6" customWidth="1"/>
    <col min="10497" max="10501" width="5.6640625" style="6" customWidth="1"/>
    <col min="10502" max="10502" width="5.88671875" style="6" customWidth="1"/>
    <col min="10503" max="10508" width="5.6640625" style="6" customWidth="1"/>
    <col min="10509" max="10509" width="6.6640625" style="6" customWidth="1"/>
    <col min="10510" max="10520" width="5.6640625" style="6" customWidth="1"/>
    <col min="10521" max="10522" width="7.109375" style="6" customWidth="1"/>
    <col min="10523" max="10750" width="11.44140625" style="6"/>
    <col min="10751" max="10751" width="4.44140625" style="6" customWidth="1"/>
    <col min="10752" max="10752" width="31.88671875" style="6" customWidth="1"/>
    <col min="10753" max="10757" width="5.6640625" style="6" customWidth="1"/>
    <col min="10758" max="10758" width="5.88671875" style="6" customWidth="1"/>
    <col min="10759" max="10764" width="5.6640625" style="6" customWidth="1"/>
    <col min="10765" max="10765" width="6.6640625" style="6" customWidth="1"/>
    <col min="10766" max="10776" width="5.6640625" style="6" customWidth="1"/>
    <col min="10777" max="10778" width="7.109375" style="6" customWidth="1"/>
    <col min="10779" max="11006" width="11.44140625" style="6"/>
    <col min="11007" max="11007" width="4.44140625" style="6" customWidth="1"/>
    <col min="11008" max="11008" width="31.88671875" style="6" customWidth="1"/>
    <col min="11009" max="11013" width="5.6640625" style="6" customWidth="1"/>
    <col min="11014" max="11014" width="5.88671875" style="6" customWidth="1"/>
    <col min="11015" max="11020" width="5.6640625" style="6" customWidth="1"/>
    <col min="11021" max="11021" width="6.6640625" style="6" customWidth="1"/>
    <col min="11022" max="11032" width="5.6640625" style="6" customWidth="1"/>
    <col min="11033" max="11034" width="7.109375" style="6" customWidth="1"/>
    <col min="11035" max="11262" width="11.44140625" style="6"/>
    <col min="11263" max="11263" width="4.44140625" style="6" customWidth="1"/>
    <col min="11264" max="11264" width="31.88671875" style="6" customWidth="1"/>
    <col min="11265" max="11269" width="5.6640625" style="6" customWidth="1"/>
    <col min="11270" max="11270" width="5.88671875" style="6" customWidth="1"/>
    <col min="11271" max="11276" width="5.6640625" style="6" customWidth="1"/>
    <col min="11277" max="11277" width="6.6640625" style="6" customWidth="1"/>
    <col min="11278" max="11288" width="5.6640625" style="6" customWidth="1"/>
    <col min="11289" max="11290" width="7.109375" style="6" customWidth="1"/>
    <col min="11291" max="11518" width="11.44140625" style="6"/>
    <col min="11519" max="11519" width="4.44140625" style="6" customWidth="1"/>
    <col min="11520" max="11520" width="31.88671875" style="6" customWidth="1"/>
    <col min="11521" max="11525" width="5.6640625" style="6" customWidth="1"/>
    <col min="11526" max="11526" width="5.88671875" style="6" customWidth="1"/>
    <col min="11527" max="11532" width="5.6640625" style="6" customWidth="1"/>
    <col min="11533" max="11533" width="6.6640625" style="6" customWidth="1"/>
    <col min="11534" max="11544" width="5.6640625" style="6" customWidth="1"/>
    <col min="11545" max="11546" width="7.109375" style="6" customWidth="1"/>
    <col min="11547" max="11774" width="11.44140625" style="6"/>
    <col min="11775" max="11775" width="4.44140625" style="6" customWidth="1"/>
    <col min="11776" max="11776" width="31.88671875" style="6" customWidth="1"/>
    <col min="11777" max="11781" width="5.6640625" style="6" customWidth="1"/>
    <col min="11782" max="11782" width="5.88671875" style="6" customWidth="1"/>
    <col min="11783" max="11788" width="5.6640625" style="6" customWidth="1"/>
    <col min="11789" max="11789" width="6.6640625" style="6" customWidth="1"/>
    <col min="11790" max="11800" width="5.6640625" style="6" customWidth="1"/>
    <col min="11801" max="11802" width="7.109375" style="6" customWidth="1"/>
    <col min="11803" max="12030" width="11.44140625" style="6"/>
    <col min="12031" max="12031" width="4.44140625" style="6" customWidth="1"/>
    <col min="12032" max="12032" width="31.88671875" style="6" customWidth="1"/>
    <col min="12033" max="12037" width="5.6640625" style="6" customWidth="1"/>
    <col min="12038" max="12038" width="5.88671875" style="6" customWidth="1"/>
    <col min="12039" max="12044" width="5.6640625" style="6" customWidth="1"/>
    <col min="12045" max="12045" width="6.6640625" style="6" customWidth="1"/>
    <col min="12046" max="12056" width="5.6640625" style="6" customWidth="1"/>
    <col min="12057" max="12058" width="7.109375" style="6" customWidth="1"/>
    <col min="12059" max="12286" width="11.44140625" style="6"/>
    <col min="12287" max="12287" width="4.44140625" style="6" customWidth="1"/>
    <col min="12288" max="12288" width="31.88671875" style="6" customWidth="1"/>
    <col min="12289" max="12293" width="5.6640625" style="6" customWidth="1"/>
    <col min="12294" max="12294" width="5.88671875" style="6" customWidth="1"/>
    <col min="12295" max="12300" width="5.6640625" style="6" customWidth="1"/>
    <col min="12301" max="12301" width="6.6640625" style="6" customWidth="1"/>
    <col min="12302" max="12312" width="5.6640625" style="6" customWidth="1"/>
    <col min="12313" max="12314" width="7.109375" style="6" customWidth="1"/>
    <col min="12315" max="12542" width="11.44140625" style="6"/>
    <col min="12543" max="12543" width="4.44140625" style="6" customWidth="1"/>
    <col min="12544" max="12544" width="31.88671875" style="6" customWidth="1"/>
    <col min="12545" max="12549" width="5.6640625" style="6" customWidth="1"/>
    <col min="12550" max="12550" width="5.88671875" style="6" customWidth="1"/>
    <col min="12551" max="12556" width="5.6640625" style="6" customWidth="1"/>
    <col min="12557" max="12557" width="6.6640625" style="6" customWidth="1"/>
    <col min="12558" max="12568" width="5.6640625" style="6" customWidth="1"/>
    <col min="12569" max="12570" width="7.109375" style="6" customWidth="1"/>
    <col min="12571" max="12798" width="11.44140625" style="6"/>
    <col min="12799" max="12799" width="4.44140625" style="6" customWidth="1"/>
    <col min="12800" max="12800" width="31.88671875" style="6" customWidth="1"/>
    <col min="12801" max="12805" width="5.6640625" style="6" customWidth="1"/>
    <col min="12806" max="12806" width="5.88671875" style="6" customWidth="1"/>
    <col min="12807" max="12812" width="5.6640625" style="6" customWidth="1"/>
    <col min="12813" max="12813" width="6.6640625" style="6" customWidth="1"/>
    <col min="12814" max="12824" width="5.6640625" style="6" customWidth="1"/>
    <col min="12825" max="12826" width="7.109375" style="6" customWidth="1"/>
    <col min="12827" max="13054" width="11.44140625" style="6"/>
    <col min="13055" max="13055" width="4.44140625" style="6" customWidth="1"/>
    <col min="13056" max="13056" width="31.88671875" style="6" customWidth="1"/>
    <col min="13057" max="13061" width="5.6640625" style="6" customWidth="1"/>
    <col min="13062" max="13062" width="5.88671875" style="6" customWidth="1"/>
    <col min="13063" max="13068" width="5.6640625" style="6" customWidth="1"/>
    <col min="13069" max="13069" width="6.6640625" style="6" customWidth="1"/>
    <col min="13070" max="13080" width="5.6640625" style="6" customWidth="1"/>
    <col min="13081" max="13082" width="7.109375" style="6" customWidth="1"/>
    <col min="13083" max="13310" width="11.44140625" style="6"/>
    <col min="13311" max="13311" width="4.44140625" style="6" customWidth="1"/>
    <col min="13312" max="13312" width="31.88671875" style="6" customWidth="1"/>
    <col min="13313" max="13317" width="5.6640625" style="6" customWidth="1"/>
    <col min="13318" max="13318" width="5.88671875" style="6" customWidth="1"/>
    <col min="13319" max="13324" width="5.6640625" style="6" customWidth="1"/>
    <col min="13325" max="13325" width="6.6640625" style="6" customWidth="1"/>
    <col min="13326" max="13336" width="5.6640625" style="6" customWidth="1"/>
    <col min="13337" max="13338" width="7.109375" style="6" customWidth="1"/>
    <col min="13339" max="13566" width="11.44140625" style="6"/>
    <col min="13567" max="13567" width="4.44140625" style="6" customWidth="1"/>
    <col min="13568" max="13568" width="31.88671875" style="6" customWidth="1"/>
    <col min="13569" max="13573" width="5.6640625" style="6" customWidth="1"/>
    <col min="13574" max="13574" width="5.88671875" style="6" customWidth="1"/>
    <col min="13575" max="13580" width="5.6640625" style="6" customWidth="1"/>
    <col min="13581" max="13581" width="6.6640625" style="6" customWidth="1"/>
    <col min="13582" max="13592" width="5.6640625" style="6" customWidth="1"/>
    <col min="13593" max="13594" width="7.109375" style="6" customWidth="1"/>
    <col min="13595" max="13822" width="11.44140625" style="6"/>
    <col min="13823" max="13823" width="4.44140625" style="6" customWidth="1"/>
    <col min="13824" max="13824" width="31.88671875" style="6" customWidth="1"/>
    <col min="13825" max="13829" width="5.6640625" style="6" customWidth="1"/>
    <col min="13830" max="13830" width="5.88671875" style="6" customWidth="1"/>
    <col min="13831" max="13836" width="5.6640625" style="6" customWidth="1"/>
    <col min="13837" max="13837" width="6.6640625" style="6" customWidth="1"/>
    <col min="13838" max="13848" width="5.6640625" style="6" customWidth="1"/>
    <col min="13849" max="13850" width="7.109375" style="6" customWidth="1"/>
    <col min="13851" max="14078" width="11.44140625" style="6"/>
    <col min="14079" max="14079" width="4.44140625" style="6" customWidth="1"/>
    <col min="14080" max="14080" width="31.88671875" style="6" customWidth="1"/>
    <col min="14081" max="14085" width="5.6640625" style="6" customWidth="1"/>
    <col min="14086" max="14086" width="5.88671875" style="6" customWidth="1"/>
    <col min="14087" max="14092" width="5.6640625" style="6" customWidth="1"/>
    <col min="14093" max="14093" width="6.6640625" style="6" customWidth="1"/>
    <col min="14094" max="14104" width="5.6640625" style="6" customWidth="1"/>
    <col min="14105" max="14106" width="7.109375" style="6" customWidth="1"/>
    <col min="14107" max="14334" width="11.44140625" style="6"/>
    <col min="14335" max="14335" width="4.44140625" style="6" customWidth="1"/>
    <col min="14336" max="14336" width="31.88671875" style="6" customWidth="1"/>
    <col min="14337" max="14341" width="5.6640625" style="6" customWidth="1"/>
    <col min="14342" max="14342" width="5.88671875" style="6" customWidth="1"/>
    <col min="14343" max="14348" width="5.6640625" style="6" customWidth="1"/>
    <col min="14349" max="14349" width="6.6640625" style="6" customWidth="1"/>
    <col min="14350" max="14360" width="5.6640625" style="6" customWidth="1"/>
    <col min="14361" max="14362" width="7.109375" style="6" customWidth="1"/>
    <col min="14363" max="14590" width="11.44140625" style="6"/>
    <col min="14591" max="14591" width="4.44140625" style="6" customWidth="1"/>
    <col min="14592" max="14592" width="31.88671875" style="6" customWidth="1"/>
    <col min="14593" max="14597" width="5.6640625" style="6" customWidth="1"/>
    <col min="14598" max="14598" width="5.88671875" style="6" customWidth="1"/>
    <col min="14599" max="14604" width="5.6640625" style="6" customWidth="1"/>
    <col min="14605" max="14605" width="6.6640625" style="6" customWidth="1"/>
    <col min="14606" max="14616" width="5.6640625" style="6" customWidth="1"/>
    <col min="14617" max="14618" width="7.109375" style="6" customWidth="1"/>
    <col min="14619" max="14846" width="11.44140625" style="6"/>
    <col min="14847" max="14847" width="4.44140625" style="6" customWidth="1"/>
    <col min="14848" max="14848" width="31.88671875" style="6" customWidth="1"/>
    <col min="14849" max="14853" width="5.6640625" style="6" customWidth="1"/>
    <col min="14854" max="14854" width="5.88671875" style="6" customWidth="1"/>
    <col min="14855" max="14860" width="5.6640625" style="6" customWidth="1"/>
    <col min="14861" max="14861" width="6.6640625" style="6" customWidth="1"/>
    <col min="14862" max="14872" width="5.6640625" style="6" customWidth="1"/>
    <col min="14873" max="14874" width="7.109375" style="6" customWidth="1"/>
    <col min="14875" max="15102" width="11.44140625" style="6"/>
    <col min="15103" max="15103" width="4.44140625" style="6" customWidth="1"/>
    <col min="15104" max="15104" width="31.88671875" style="6" customWidth="1"/>
    <col min="15105" max="15109" width="5.6640625" style="6" customWidth="1"/>
    <col min="15110" max="15110" width="5.88671875" style="6" customWidth="1"/>
    <col min="15111" max="15116" width="5.6640625" style="6" customWidth="1"/>
    <col min="15117" max="15117" width="6.6640625" style="6" customWidth="1"/>
    <col min="15118" max="15128" width="5.6640625" style="6" customWidth="1"/>
    <col min="15129" max="15130" width="7.109375" style="6" customWidth="1"/>
    <col min="15131" max="15358" width="11.44140625" style="6"/>
    <col min="15359" max="15359" width="4.44140625" style="6" customWidth="1"/>
    <col min="15360" max="15360" width="31.88671875" style="6" customWidth="1"/>
    <col min="15361" max="15365" width="5.6640625" style="6" customWidth="1"/>
    <col min="15366" max="15366" width="5.88671875" style="6" customWidth="1"/>
    <col min="15367" max="15372" width="5.6640625" style="6" customWidth="1"/>
    <col min="15373" max="15373" width="6.6640625" style="6" customWidth="1"/>
    <col min="15374" max="15384" width="5.6640625" style="6" customWidth="1"/>
    <col min="15385" max="15386" width="7.109375" style="6" customWidth="1"/>
    <col min="15387" max="15614" width="11.44140625" style="6"/>
    <col min="15615" max="15615" width="4.44140625" style="6" customWidth="1"/>
    <col min="15616" max="15616" width="31.88671875" style="6" customWidth="1"/>
    <col min="15617" max="15621" width="5.6640625" style="6" customWidth="1"/>
    <col min="15622" max="15622" width="5.88671875" style="6" customWidth="1"/>
    <col min="15623" max="15628" width="5.6640625" style="6" customWidth="1"/>
    <col min="15629" max="15629" width="6.6640625" style="6" customWidth="1"/>
    <col min="15630" max="15640" width="5.6640625" style="6" customWidth="1"/>
    <col min="15641" max="15642" width="7.109375" style="6" customWidth="1"/>
    <col min="15643" max="15870" width="11.44140625" style="6"/>
    <col min="15871" max="15871" width="4.44140625" style="6" customWidth="1"/>
    <col min="15872" max="15872" width="31.88671875" style="6" customWidth="1"/>
    <col min="15873" max="15877" width="5.6640625" style="6" customWidth="1"/>
    <col min="15878" max="15878" width="5.88671875" style="6" customWidth="1"/>
    <col min="15879" max="15884" width="5.6640625" style="6" customWidth="1"/>
    <col min="15885" max="15885" width="6.6640625" style="6" customWidth="1"/>
    <col min="15886" max="15896" width="5.6640625" style="6" customWidth="1"/>
    <col min="15897" max="15898" width="7.109375" style="6" customWidth="1"/>
    <col min="15899" max="16126" width="11.44140625" style="6"/>
    <col min="16127" max="16127" width="4.44140625" style="6" customWidth="1"/>
    <col min="16128" max="16128" width="31.88671875" style="6" customWidth="1"/>
    <col min="16129" max="16133" width="5.6640625" style="6" customWidth="1"/>
    <col min="16134" max="16134" width="5.88671875" style="6" customWidth="1"/>
    <col min="16135" max="16140" width="5.6640625" style="6" customWidth="1"/>
    <col min="16141" max="16141" width="6.6640625" style="6" customWidth="1"/>
    <col min="16142" max="16152" width="5.6640625" style="6" customWidth="1"/>
    <col min="16153" max="16154" width="7.109375" style="6" customWidth="1"/>
    <col min="16155" max="16384" width="11.44140625" style="6"/>
  </cols>
  <sheetData>
    <row r="3" spans="1:30" ht="25.5" customHeight="1" x14ac:dyDescent="0.3">
      <c r="A3" s="35" t="s">
        <v>0</v>
      </c>
      <c r="B3" s="35" t="s">
        <v>114</v>
      </c>
      <c r="C3" s="36" t="s">
        <v>2</v>
      </c>
      <c r="D3" s="36"/>
      <c r="E3" s="33" t="s">
        <v>3</v>
      </c>
      <c r="F3" s="33"/>
      <c r="G3" s="33" t="s">
        <v>4</v>
      </c>
      <c r="H3" s="33"/>
      <c r="I3" s="33" t="s">
        <v>5</v>
      </c>
      <c r="J3" s="33"/>
      <c r="K3" s="33" t="s">
        <v>6</v>
      </c>
      <c r="L3" s="33"/>
      <c r="M3" s="33" t="s">
        <v>7</v>
      </c>
      <c r="N3" s="33"/>
      <c r="O3" s="33" t="s">
        <v>8</v>
      </c>
      <c r="P3" s="33"/>
      <c r="Q3" s="33" t="s">
        <v>9</v>
      </c>
      <c r="R3" s="33"/>
      <c r="S3" s="33" t="s">
        <v>10</v>
      </c>
      <c r="T3" s="33"/>
      <c r="U3" s="33" t="s">
        <v>11</v>
      </c>
      <c r="V3" s="33"/>
      <c r="W3" s="33" t="s">
        <v>12</v>
      </c>
      <c r="X3" s="33"/>
      <c r="Y3" s="33" t="s">
        <v>111</v>
      </c>
      <c r="Z3" s="33"/>
      <c r="AA3" s="33" t="s">
        <v>112</v>
      </c>
      <c r="AB3" s="33"/>
      <c r="AC3" s="33" t="s">
        <v>113</v>
      </c>
      <c r="AD3" s="33"/>
    </row>
    <row r="4" spans="1:30" ht="25.5" customHeight="1" x14ac:dyDescent="0.3">
      <c r="A4" s="35"/>
      <c r="B4" s="35"/>
      <c r="C4" s="37" t="s">
        <v>13</v>
      </c>
      <c r="D4" s="38" t="s">
        <v>14</v>
      </c>
      <c r="E4" s="37" t="s">
        <v>13</v>
      </c>
      <c r="F4" s="38" t="s">
        <v>14</v>
      </c>
      <c r="G4" s="37" t="s">
        <v>13</v>
      </c>
      <c r="H4" s="38" t="s">
        <v>14</v>
      </c>
      <c r="I4" s="37" t="s">
        <v>13</v>
      </c>
      <c r="J4" s="38" t="s">
        <v>14</v>
      </c>
      <c r="K4" s="37" t="s">
        <v>13</v>
      </c>
      <c r="L4" s="38" t="s">
        <v>14</v>
      </c>
      <c r="M4" s="37" t="s">
        <v>13</v>
      </c>
      <c r="N4" s="38" t="s">
        <v>14</v>
      </c>
      <c r="O4" s="37" t="s">
        <v>13</v>
      </c>
      <c r="P4" s="38" t="s">
        <v>14</v>
      </c>
      <c r="Q4" s="37" t="s">
        <v>13</v>
      </c>
      <c r="R4" s="38" t="s">
        <v>14</v>
      </c>
      <c r="S4" s="37" t="s">
        <v>13</v>
      </c>
      <c r="T4" s="38" t="s">
        <v>14</v>
      </c>
      <c r="U4" s="37" t="s">
        <v>13</v>
      </c>
      <c r="V4" s="38" t="s">
        <v>14</v>
      </c>
      <c r="W4" s="37" t="s">
        <v>13</v>
      </c>
      <c r="X4" s="38" t="s">
        <v>14</v>
      </c>
      <c r="Y4" s="37" t="s">
        <v>13</v>
      </c>
      <c r="Z4" s="38" t="s">
        <v>14</v>
      </c>
      <c r="AA4" s="37" t="s">
        <v>13</v>
      </c>
      <c r="AB4" s="38" t="s">
        <v>14</v>
      </c>
      <c r="AC4" s="37" t="s">
        <v>13</v>
      </c>
      <c r="AD4" s="38" t="s">
        <v>14</v>
      </c>
    </row>
    <row r="5" spans="1:30" ht="19.5" customHeight="1" x14ac:dyDescent="0.3">
      <c r="A5" s="40">
        <v>1</v>
      </c>
      <c r="B5" s="39" t="s">
        <v>23</v>
      </c>
      <c r="C5" s="30">
        <v>1.2281249999999999</v>
      </c>
      <c r="D5" s="31">
        <v>1</v>
      </c>
      <c r="E5" s="30">
        <v>0.77500000000000002</v>
      </c>
      <c r="F5" s="31">
        <v>1</v>
      </c>
      <c r="G5" s="30">
        <v>11.7009375</v>
      </c>
      <c r="H5" s="31">
        <v>3</v>
      </c>
      <c r="I5" s="30">
        <v>82.161562500000002</v>
      </c>
      <c r="J5" s="31">
        <v>5</v>
      </c>
      <c r="K5" s="30">
        <v>86.915625000000006</v>
      </c>
      <c r="L5" s="31">
        <v>7</v>
      </c>
      <c r="M5" s="30">
        <v>178.99375000000001</v>
      </c>
      <c r="N5" s="31">
        <v>11</v>
      </c>
      <c r="O5" s="30">
        <v>226.921875</v>
      </c>
      <c r="P5" s="31">
        <v>12</v>
      </c>
      <c r="Q5" s="30">
        <v>277.00624999999997</v>
      </c>
      <c r="R5" s="31">
        <v>13</v>
      </c>
      <c r="S5" s="30">
        <v>202.98624999999998</v>
      </c>
      <c r="T5" s="31">
        <v>12</v>
      </c>
      <c r="U5" s="30">
        <v>160.85</v>
      </c>
      <c r="V5" s="31">
        <v>7</v>
      </c>
      <c r="W5" s="30">
        <v>0</v>
      </c>
      <c r="X5" s="31">
        <v>0</v>
      </c>
      <c r="Y5" s="30">
        <v>1229.5393749999998</v>
      </c>
      <c r="Z5" s="31">
        <v>72</v>
      </c>
      <c r="AA5" s="30">
        <v>1050.1175862068965</v>
      </c>
      <c r="AB5" s="31">
        <v>58</v>
      </c>
      <c r="AC5" s="30">
        <v>179.42178879310336</v>
      </c>
      <c r="AD5" s="31">
        <v>14</v>
      </c>
    </row>
    <row r="6" spans="1:30" ht="20.25" customHeight="1" x14ac:dyDescent="0.3">
      <c r="A6" s="40">
        <v>2</v>
      </c>
      <c r="B6" s="39" t="s">
        <v>30</v>
      </c>
      <c r="C6" s="30">
        <v>0</v>
      </c>
      <c r="D6" s="31">
        <v>0</v>
      </c>
      <c r="E6" s="30">
        <v>0</v>
      </c>
      <c r="F6" s="31">
        <v>0</v>
      </c>
      <c r="G6" s="30">
        <v>4.7813852813852815</v>
      </c>
      <c r="H6" s="31">
        <v>2</v>
      </c>
      <c r="I6" s="30">
        <v>9.0361895161290313</v>
      </c>
      <c r="J6" s="31">
        <v>3</v>
      </c>
      <c r="K6" s="30">
        <v>39.103870967741933</v>
      </c>
      <c r="L6" s="31">
        <v>3</v>
      </c>
      <c r="M6" s="30">
        <v>128.46148809523808</v>
      </c>
      <c r="N6" s="31">
        <v>8</v>
      </c>
      <c r="O6" s="30">
        <v>165.43263157894737</v>
      </c>
      <c r="P6" s="31">
        <v>12</v>
      </c>
      <c r="Q6" s="30">
        <v>312.69473684210527</v>
      </c>
      <c r="R6" s="31">
        <v>16</v>
      </c>
      <c r="S6" s="30">
        <v>176.67456140350879</v>
      </c>
      <c r="T6" s="31">
        <v>13</v>
      </c>
      <c r="U6" s="30">
        <v>39.919862155388472</v>
      </c>
      <c r="V6" s="31">
        <v>4</v>
      </c>
      <c r="W6" s="30">
        <v>0</v>
      </c>
      <c r="X6" s="31">
        <v>0</v>
      </c>
      <c r="Y6" s="30">
        <v>876.10472584044419</v>
      </c>
      <c r="Z6" s="31">
        <v>61</v>
      </c>
      <c r="AA6" s="30">
        <v>982.49482581453617</v>
      </c>
      <c r="AB6" s="31">
        <v>63</v>
      </c>
      <c r="AC6" s="30">
        <v>-106.39009997409198</v>
      </c>
      <c r="AD6" s="31">
        <v>-2</v>
      </c>
    </row>
    <row r="7" spans="1:30" ht="20.25" customHeight="1" x14ac:dyDescent="0.3">
      <c r="A7" s="40">
        <v>3</v>
      </c>
      <c r="B7" s="39" t="s">
        <v>41</v>
      </c>
      <c r="C7" s="30">
        <v>0</v>
      </c>
      <c r="D7" s="31">
        <v>0</v>
      </c>
      <c r="E7" s="30">
        <v>0.26</v>
      </c>
      <c r="F7" s="31">
        <v>1</v>
      </c>
      <c r="G7" s="30">
        <v>15.406089743589744</v>
      </c>
      <c r="H7" s="31">
        <v>3</v>
      </c>
      <c r="I7" s="30">
        <v>48.581428571428575</v>
      </c>
      <c r="J7" s="31">
        <v>5</v>
      </c>
      <c r="K7" s="30">
        <v>90.224761904761905</v>
      </c>
      <c r="L7" s="31">
        <v>7</v>
      </c>
      <c r="M7" s="30">
        <v>108.12</v>
      </c>
      <c r="N7" s="31">
        <v>8</v>
      </c>
      <c r="O7" s="30">
        <v>181.80357142857144</v>
      </c>
      <c r="P7" s="31">
        <v>11</v>
      </c>
      <c r="Q7" s="30">
        <v>351.67133333333334</v>
      </c>
      <c r="R7" s="31">
        <v>18</v>
      </c>
      <c r="S7" s="30">
        <v>252.73666666666668</v>
      </c>
      <c r="T7" s="31">
        <v>16</v>
      </c>
      <c r="U7" s="30">
        <v>84.9</v>
      </c>
      <c r="V7" s="31">
        <v>8</v>
      </c>
      <c r="W7" s="30">
        <v>3.3333333333333335</v>
      </c>
      <c r="X7" s="31">
        <v>1</v>
      </c>
      <c r="Y7" s="30">
        <v>1137.037184981685</v>
      </c>
      <c r="Z7" s="31">
        <v>78</v>
      </c>
      <c r="AA7" s="30">
        <v>1063.8826666666666</v>
      </c>
      <c r="AB7" s="31">
        <v>71</v>
      </c>
      <c r="AC7" s="30">
        <v>73.154518315018322</v>
      </c>
      <c r="AD7" s="31">
        <v>7</v>
      </c>
    </row>
    <row r="8" spans="1:30" ht="19.5" customHeight="1" x14ac:dyDescent="0.3">
      <c r="A8" s="40">
        <v>4</v>
      </c>
      <c r="B8" s="39" t="s">
        <v>46</v>
      </c>
      <c r="C8" s="30">
        <v>0.96666666666666667</v>
      </c>
      <c r="D8" s="31">
        <v>1</v>
      </c>
      <c r="E8" s="30">
        <v>1.0111111111111111</v>
      </c>
      <c r="F8" s="31">
        <v>1</v>
      </c>
      <c r="G8" s="30">
        <v>35.895000000000003</v>
      </c>
      <c r="H8" s="31">
        <v>5</v>
      </c>
      <c r="I8" s="30">
        <v>90.17916666666666</v>
      </c>
      <c r="J8" s="31">
        <v>7</v>
      </c>
      <c r="K8" s="30">
        <v>101.97000000000001</v>
      </c>
      <c r="L8" s="31">
        <v>6</v>
      </c>
      <c r="M8" s="30">
        <v>155.27777777777777</v>
      </c>
      <c r="N8" s="31">
        <v>11</v>
      </c>
      <c r="O8" s="30">
        <v>269.48333333333335</v>
      </c>
      <c r="P8" s="31">
        <v>14</v>
      </c>
      <c r="Q8" s="30">
        <v>227.07777777777778</v>
      </c>
      <c r="R8" s="31">
        <v>12</v>
      </c>
      <c r="S8" s="30">
        <v>179.52500000000001</v>
      </c>
      <c r="T8" s="31">
        <v>12</v>
      </c>
      <c r="U8" s="30">
        <v>76.814285714285717</v>
      </c>
      <c r="V8" s="31">
        <v>6</v>
      </c>
      <c r="W8" s="30">
        <v>0.5</v>
      </c>
      <c r="X8" s="31">
        <v>1</v>
      </c>
      <c r="Y8" s="30">
        <v>1138.7001190476192</v>
      </c>
      <c r="Z8" s="31">
        <v>76</v>
      </c>
      <c r="AA8" s="30">
        <v>1115.0609896574013</v>
      </c>
      <c r="AB8" s="31">
        <v>69</v>
      </c>
      <c r="AC8" s="30">
        <v>23.639129390217931</v>
      </c>
      <c r="AD8" s="31">
        <v>7</v>
      </c>
    </row>
    <row r="9" spans="1:30" ht="20.25" customHeight="1" x14ac:dyDescent="0.3">
      <c r="A9" s="40">
        <v>5</v>
      </c>
      <c r="B9" s="39" t="s">
        <v>57</v>
      </c>
      <c r="C9" s="30">
        <v>0</v>
      </c>
      <c r="D9" s="31">
        <v>0</v>
      </c>
      <c r="E9" s="30">
        <v>11.073684210526316</v>
      </c>
      <c r="F9" s="31">
        <v>1</v>
      </c>
      <c r="G9" s="30">
        <v>69.571538461538466</v>
      </c>
      <c r="H9" s="31">
        <v>5</v>
      </c>
      <c r="I9" s="31">
        <v>146.59230769230771</v>
      </c>
      <c r="J9" s="31">
        <v>8</v>
      </c>
      <c r="K9" s="30">
        <v>146.59230769230771</v>
      </c>
      <c r="L9" s="31">
        <v>8</v>
      </c>
      <c r="M9" s="30">
        <v>131.46923076923076</v>
      </c>
      <c r="N9" s="31">
        <v>7</v>
      </c>
      <c r="O9" s="30">
        <v>269.2373076923077</v>
      </c>
      <c r="P9" s="31">
        <v>12</v>
      </c>
      <c r="Q9" s="30">
        <v>128.82953846153848</v>
      </c>
      <c r="R9" s="31">
        <v>8</v>
      </c>
      <c r="S9" s="30">
        <v>175.85038461538463</v>
      </c>
      <c r="T9" s="31">
        <v>9</v>
      </c>
      <c r="U9" s="30">
        <v>185.88697802197805</v>
      </c>
      <c r="V9" s="31">
        <v>11</v>
      </c>
      <c r="W9" s="30">
        <v>8.2535714285714299</v>
      </c>
      <c r="X9" s="31">
        <v>1</v>
      </c>
      <c r="Y9" s="30">
        <v>1273.3568490456914</v>
      </c>
      <c r="Z9" s="31">
        <v>70</v>
      </c>
      <c r="AA9" s="30">
        <v>1137.8062846272942</v>
      </c>
      <c r="AB9" s="31">
        <v>63</v>
      </c>
      <c r="AC9" s="30">
        <v>135.55056441839724</v>
      </c>
      <c r="AD9" s="31">
        <v>7</v>
      </c>
    </row>
    <row r="10" spans="1:30" ht="21.75" customHeight="1" x14ac:dyDescent="0.3">
      <c r="A10" s="40">
        <v>6</v>
      </c>
      <c r="B10" s="39" t="s">
        <v>64</v>
      </c>
      <c r="C10" s="30">
        <v>0</v>
      </c>
      <c r="D10" s="31">
        <v>0</v>
      </c>
      <c r="E10" s="30">
        <v>8.0084848484848479</v>
      </c>
      <c r="F10" s="31">
        <v>1</v>
      </c>
      <c r="G10" s="30">
        <v>72.541155303030308</v>
      </c>
      <c r="H10" s="31">
        <v>5</v>
      </c>
      <c r="I10" s="31">
        <v>80.76909090909092</v>
      </c>
      <c r="J10" s="31">
        <v>4</v>
      </c>
      <c r="K10" s="30">
        <v>80.76909090909092</v>
      </c>
      <c r="L10" s="31">
        <v>4</v>
      </c>
      <c r="M10" s="30">
        <v>86.018199596774195</v>
      </c>
      <c r="N10" s="31">
        <v>6</v>
      </c>
      <c r="O10" s="30">
        <v>68</v>
      </c>
      <c r="P10" s="31">
        <v>1</v>
      </c>
      <c r="Q10" s="30">
        <v>143.84722924901186</v>
      </c>
      <c r="R10" s="31">
        <v>7</v>
      </c>
      <c r="S10" s="30">
        <v>274.33559194428761</v>
      </c>
      <c r="T10" s="31">
        <v>10</v>
      </c>
      <c r="U10" s="30">
        <v>207.52335664335664</v>
      </c>
      <c r="V10" s="31">
        <v>9</v>
      </c>
      <c r="W10" s="30">
        <v>18.900416666666668</v>
      </c>
      <c r="X10" s="31">
        <v>1</v>
      </c>
      <c r="Y10" s="30">
        <v>1040.712616069794</v>
      </c>
      <c r="Z10" s="31">
        <v>48</v>
      </c>
      <c r="AA10" s="30">
        <v>1095.3016129032258</v>
      </c>
      <c r="AB10" s="31">
        <v>51</v>
      </c>
      <c r="AC10" s="30">
        <v>-54.588996833431793</v>
      </c>
      <c r="AD10" s="31">
        <v>-3</v>
      </c>
    </row>
    <row r="11" spans="1:30" ht="20.25" customHeight="1" x14ac:dyDescent="0.3">
      <c r="A11" s="40">
        <v>7</v>
      </c>
      <c r="B11" s="39" t="s">
        <v>72</v>
      </c>
      <c r="C11" s="30">
        <v>0.45454545454545453</v>
      </c>
      <c r="D11" s="31">
        <v>1</v>
      </c>
      <c r="E11" s="32">
        <v>19.936363636363634</v>
      </c>
      <c r="F11" s="31">
        <v>3</v>
      </c>
      <c r="G11" s="32">
        <v>115.62727272727273</v>
      </c>
      <c r="H11" s="31">
        <v>6</v>
      </c>
      <c r="I11" s="31">
        <v>156.59090909090909</v>
      </c>
      <c r="J11" s="31">
        <v>8</v>
      </c>
      <c r="K11" s="30">
        <v>186.0090909090909</v>
      </c>
      <c r="L11" s="31">
        <v>11</v>
      </c>
      <c r="M11" s="30">
        <v>84.336363636363643</v>
      </c>
      <c r="N11" s="31">
        <v>10</v>
      </c>
      <c r="O11" s="30">
        <v>148.28818181818181</v>
      </c>
      <c r="P11" s="31">
        <v>9</v>
      </c>
      <c r="Q11" s="30">
        <v>64.11727272727272</v>
      </c>
      <c r="R11" s="31">
        <v>8</v>
      </c>
      <c r="S11" s="30">
        <v>174.14545454545456</v>
      </c>
      <c r="T11" s="31">
        <v>7</v>
      </c>
      <c r="U11" s="30">
        <v>117.07272727272726</v>
      </c>
      <c r="V11" s="31">
        <v>9</v>
      </c>
      <c r="W11" s="30">
        <v>23.954545454545453</v>
      </c>
      <c r="X11" s="31">
        <v>2</v>
      </c>
      <c r="Y11" s="32">
        <v>1090.5327272727272</v>
      </c>
      <c r="Z11" s="31">
        <v>74</v>
      </c>
      <c r="AA11" s="30">
        <v>938.03616264454502</v>
      </c>
      <c r="AB11" s="31">
        <v>66</v>
      </c>
      <c r="AC11" s="30">
        <v>152.49656462818223</v>
      </c>
      <c r="AD11" s="31">
        <v>8</v>
      </c>
    </row>
    <row r="12" spans="1:30" ht="22.5" customHeight="1" x14ac:dyDescent="0.3">
      <c r="A12" s="40">
        <v>8</v>
      </c>
      <c r="B12" s="39" t="s">
        <v>79</v>
      </c>
      <c r="C12" s="30">
        <v>7.427142857142857</v>
      </c>
      <c r="D12" s="31">
        <v>1</v>
      </c>
      <c r="E12" s="30">
        <v>11.485714285714286</v>
      </c>
      <c r="F12" s="31">
        <v>1</v>
      </c>
      <c r="G12" s="30">
        <v>89.765714285714296</v>
      </c>
      <c r="H12" s="31">
        <v>5</v>
      </c>
      <c r="I12" s="31">
        <v>130.79428571428571</v>
      </c>
      <c r="J12" s="31">
        <v>9</v>
      </c>
      <c r="K12" s="30">
        <v>85.005714285714276</v>
      </c>
      <c r="L12" s="31">
        <v>6</v>
      </c>
      <c r="M12" s="30">
        <v>90.168571428571425</v>
      </c>
      <c r="N12" s="31">
        <v>6</v>
      </c>
      <c r="O12" s="30">
        <v>174.41428571428571</v>
      </c>
      <c r="P12" s="31">
        <v>9</v>
      </c>
      <c r="Q12" s="30">
        <v>78.02</v>
      </c>
      <c r="R12" s="31">
        <v>6</v>
      </c>
      <c r="S12" s="30">
        <v>157.93714285714285</v>
      </c>
      <c r="T12" s="31">
        <v>10</v>
      </c>
      <c r="U12" s="30">
        <v>143.04742857142858</v>
      </c>
      <c r="V12" s="31">
        <v>10</v>
      </c>
      <c r="W12" s="30">
        <v>12.66</v>
      </c>
      <c r="X12" s="31">
        <v>1</v>
      </c>
      <c r="Y12" s="30">
        <v>980.72599999999989</v>
      </c>
      <c r="Z12" s="31">
        <v>64</v>
      </c>
      <c r="AA12" s="30">
        <v>940.19399999999985</v>
      </c>
      <c r="AB12" s="31">
        <v>76</v>
      </c>
      <c r="AC12" s="30">
        <v>40.532000000000039</v>
      </c>
      <c r="AD12" s="31">
        <v>-12</v>
      </c>
    </row>
    <row r="13" spans="1:30" ht="21.75" customHeight="1" x14ac:dyDescent="0.3">
      <c r="A13" s="40">
        <v>9</v>
      </c>
      <c r="B13" s="39" t="s">
        <v>90</v>
      </c>
      <c r="C13" s="30">
        <v>0.27647058823529413</v>
      </c>
      <c r="D13" s="31">
        <v>5.8823529411764705E-2</v>
      </c>
      <c r="E13" s="30">
        <v>13.408823529411768</v>
      </c>
      <c r="F13" s="31">
        <v>1.9411764705882353</v>
      </c>
      <c r="G13" s="30">
        <v>130.41470588235296</v>
      </c>
      <c r="H13" s="31">
        <v>6.5882352941176467</v>
      </c>
      <c r="I13" s="31">
        <v>153.39705882352939</v>
      </c>
      <c r="J13" s="31">
        <v>7.4705882352941178</v>
      </c>
      <c r="K13" s="30">
        <v>179.95294117647063</v>
      </c>
      <c r="L13" s="31">
        <v>10.117647058823529</v>
      </c>
      <c r="M13" s="30">
        <v>230.92352941176469</v>
      </c>
      <c r="N13" s="31">
        <v>10.588235294117647</v>
      </c>
      <c r="O13" s="30">
        <v>274.05588235294124</v>
      </c>
      <c r="P13" s="31">
        <v>9.6470588235294112</v>
      </c>
      <c r="Q13" s="30">
        <v>90.164705882352933</v>
      </c>
      <c r="R13" s="31">
        <v>6.5882352941176467</v>
      </c>
      <c r="S13" s="30">
        <v>276.01764705882351</v>
      </c>
      <c r="T13" s="31">
        <v>11.235294117647058</v>
      </c>
      <c r="U13" s="30">
        <v>226.19117647058823</v>
      </c>
      <c r="V13" s="31">
        <v>9.4705882352941178</v>
      </c>
      <c r="W13" s="30">
        <v>51.888235294117642</v>
      </c>
      <c r="X13" s="31">
        <v>2.7058823529411766</v>
      </c>
      <c r="Y13" s="30">
        <v>1626.6911764705885</v>
      </c>
      <c r="Z13" s="31">
        <v>76.411764705882348</v>
      </c>
      <c r="AA13" s="30">
        <v>1211.4044117647059</v>
      </c>
      <c r="AB13" s="31">
        <v>60.008823529411764</v>
      </c>
      <c r="AC13" s="30">
        <v>415.28676470588266</v>
      </c>
      <c r="AD13" s="31">
        <v>16.402941176470584</v>
      </c>
    </row>
    <row r="14" spans="1:30" ht="21" customHeight="1" x14ac:dyDescent="0.3">
      <c r="A14" s="40">
        <v>10</v>
      </c>
      <c r="B14" s="39" t="s">
        <v>96</v>
      </c>
      <c r="C14" s="30">
        <v>3.1149999999999998</v>
      </c>
      <c r="D14" s="31">
        <v>1</v>
      </c>
      <c r="E14" s="30">
        <v>49.505000000000003</v>
      </c>
      <c r="F14" s="31">
        <v>3</v>
      </c>
      <c r="G14" s="30">
        <v>153.87</v>
      </c>
      <c r="H14" s="31">
        <v>9</v>
      </c>
      <c r="I14" s="31">
        <v>153.19500000000002</v>
      </c>
      <c r="J14" s="31">
        <v>8</v>
      </c>
      <c r="K14" s="30">
        <v>136.905</v>
      </c>
      <c r="L14" s="31">
        <v>8</v>
      </c>
      <c r="M14" s="30">
        <v>167.595</v>
      </c>
      <c r="N14" s="31">
        <v>10</v>
      </c>
      <c r="O14" s="30">
        <v>198.52</v>
      </c>
      <c r="P14" s="31">
        <v>10</v>
      </c>
      <c r="Q14" s="30">
        <v>100.21944444444445</v>
      </c>
      <c r="R14" s="31">
        <v>8</v>
      </c>
      <c r="S14" s="30">
        <v>175.76111111111112</v>
      </c>
      <c r="T14" s="31">
        <v>11</v>
      </c>
      <c r="U14" s="30">
        <v>192.77222222222224</v>
      </c>
      <c r="V14" s="31">
        <v>12</v>
      </c>
      <c r="W14" s="30">
        <v>29.405555555555559</v>
      </c>
      <c r="X14" s="31">
        <v>3</v>
      </c>
      <c r="Y14" s="30">
        <v>1360.8633333333332</v>
      </c>
      <c r="Z14" s="31">
        <v>83</v>
      </c>
      <c r="AA14" s="30">
        <v>1121.0847826086958</v>
      </c>
      <c r="AB14" s="31">
        <v>71</v>
      </c>
      <c r="AC14" s="30">
        <v>239.7785507246374</v>
      </c>
      <c r="AD14" s="31">
        <v>12</v>
      </c>
    </row>
    <row r="15" spans="1:30" ht="22.5" customHeight="1" x14ac:dyDescent="0.3">
      <c r="A15" s="40">
        <v>11</v>
      </c>
      <c r="B15" s="39" t="s">
        <v>106</v>
      </c>
      <c r="C15" s="30">
        <v>14.674999999999999</v>
      </c>
      <c r="D15" s="31">
        <v>0.75</v>
      </c>
      <c r="E15" s="30">
        <v>25.666666666666668</v>
      </c>
      <c r="F15" s="31">
        <v>1.5</v>
      </c>
      <c r="G15" s="30">
        <v>83.916666666666657</v>
      </c>
      <c r="H15" s="31">
        <v>5.25</v>
      </c>
      <c r="I15" s="31">
        <v>154.79166666666669</v>
      </c>
      <c r="J15" s="31">
        <v>7.75</v>
      </c>
      <c r="K15" s="30">
        <v>144.79999999999998</v>
      </c>
      <c r="L15" s="31">
        <v>7.5</v>
      </c>
      <c r="M15" s="30">
        <v>190.58333333333334</v>
      </c>
      <c r="N15" s="31">
        <v>9.4166666666666661</v>
      </c>
      <c r="O15" s="30">
        <v>166.2</v>
      </c>
      <c r="P15" s="31">
        <v>8.5</v>
      </c>
      <c r="Q15" s="30">
        <v>87.908333333333331</v>
      </c>
      <c r="R15" s="31">
        <v>7.4166666666666661</v>
      </c>
      <c r="S15" s="30">
        <v>265</v>
      </c>
      <c r="T15" s="31">
        <v>10.416666666666666</v>
      </c>
      <c r="U15" s="30">
        <v>85.462500000000006</v>
      </c>
      <c r="V15" s="31">
        <v>6.8333333333333339</v>
      </c>
      <c r="W15" s="30">
        <v>6.833333333333333</v>
      </c>
      <c r="X15" s="31">
        <v>0.25</v>
      </c>
      <c r="Y15" s="30">
        <v>1225.8375000000001</v>
      </c>
      <c r="Z15" s="31">
        <v>65.583333333333329</v>
      </c>
      <c r="AA15" s="30">
        <v>1100.5916666666665</v>
      </c>
      <c r="AB15" s="31">
        <v>55.379166666666663</v>
      </c>
      <c r="AC15" s="30">
        <v>125.24583333333362</v>
      </c>
      <c r="AD15" s="31">
        <v>10.204166666666666</v>
      </c>
    </row>
    <row r="16" spans="1:30" ht="18.75" customHeight="1" x14ac:dyDescent="0.3">
      <c r="A16" s="40">
        <v>12</v>
      </c>
      <c r="B16" s="39" t="s">
        <v>108</v>
      </c>
      <c r="C16" s="30">
        <v>0</v>
      </c>
      <c r="D16" s="31">
        <v>0</v>
      </c>
      <c r="E16" s="30">
        <v>2.1999999999999997</v>
      </c>
      <c r="F16" s="31">
        <v>1.3333333333333333</v>
      </c>
      <c r="G16" s="30">
        <v>70.19</v>
      </c>
      <c r="H16" s="31">
        <v>6.666666666666667</v>
      </c>
      <c r="I16" s="31">
        <v>48.4</v>
      </c>
      <c r="J16" s="31">
        <v>5.666666666666667</v>
      </c>
      <c r="K16" s="30">
        <v>81.566666666666677</v>
      </c>
      <c r="L16" s="31">
        <v>8.6666666666666661</v>
      </c>
      <c r="M16" s="30">
        <v>241.17</v>
      </c>
      <c r="N16" s="31">
        <v>11</v>
      </c>
      <c r="O16" s="30">
        <v>3.3333333333333335</v>
      </c>
      <c r="P16" s="31">
        <v>2</v>
      </c>
      <c r="Q16" s="30">
        <v>27.486666666666665</v>
      </c>
      <c r="R16" s="31">
        <v>7</v>
      </c>
      <c r="S16" s="30">
        <v>172.44</v>
      </c>
      <c r="T16" s="31">
        <v>10</v>
      </c>
      <c r="U16" s="30">
        <v>120.80000000000001</v>
      </c>
      <c r="V16" s="31">
        <v>8.6666666666666661</v>
      </c>
      <c r="W16" s="30">
        <v>31.553333333333331</v>
      </c>
      <c r="X16" s="31">
        <v>2.6666666666666665</v>
      </c>
      <c r="Y16" s="30">
        <v>799.13999999999987</v>
      </c>
      <c r="Z16" s="31">
        <v>63.666666666666664</v>
      </c>
      <c r="AA16" s="30">
        <v>851.14</v>
      </c>
      <c r="AB16" s="31">
        <v>59.333333333333336</v>
      </c>
      <c r="AC16" s="30">
        <v>-52.000000000000114</v>
      </c>
      <c r="AD16" s="31">
        <v>4.3333333333333286</v>
      </c>
    </row>
    <row r="17" spans="1:30" ht="21.6" customHeight="1" x14ac:dyDescent="0.3">
      <c r="A17" s="34" t="s">
        <v>110</v>
      </c>
      <c r="B17" s="34"/>
      <c r="C17" s="28">
        <v>2.7540530303030306</v>
      </c>
      <c r="D17" s="29">
        <v>0.2353896103896104</v>
      </c>
      <c r="E17" s="28">
        <v>11.889827355184499</v>
      </c>
      <c r="F17" s="29">
        <v>1.0281385281385282</v>
      </c>
      <c r="G17" s="28">
        <v>68.92629097093382</v>
      </c>
      <c r="H17" s="29">
        <v>4.0530303030303028</v>
      </c>
      <c r="I17" s="29">
        <v>110.37386827458259</v>
      </c>
      <c r="J17" s="29">
        <v>5.8409090909090908</v>
      </c>
      <c r="K17" s="28">
        <v>118.30893392321963</v>
      </c>
      <c r="L17" s="29">
        <v>6.7601731601731601</v>
      </c>
      <c r="M17" s="28">
        <v>151.2321727370753</v>
      </c>
      <c r="N17" s="29">
        <v>8.5346320346320361</v>
      </c>
      <c r="O17" s="28">
        <v>198.21920594556957</v>
      </c>
      <c r="P17" s="29">
        <v>9.7627705627705623</v>
      </c>
      <c r="Q17" s="28">
        <v>168.54899646529515</v>
      </c>
      <c r="R17" s="29">
        <v>9.6582251082251105</v>
      </c>
      <c r="S17" s="28">
        <v>220.79530884699705</v>
      </c>
      <c r="T17" s="29">
        <v>10.835497835497838</v>
      </c>
      <c r="U17" s="28">
        <v>140.71023049028889</v>
      </c>
      <c r="V17" s="29">
        <v>7.8619047619047624</v>
      </c>
      <c r="W17" s="28">
        <v>15.244551329622757</v>
      </c>
      <c r="X17" s="29">
        <v>1.0783549783549784</v>
      </c>
      <c r="Y17" s="28">
        <v>1207.0034393690721</v>
      </c>
      <c r="Z17" s="29">
        <v>65.649025974025989</v>
      </c>
      <c r="AA17" s="28">
        <v>1081.4433914086615</v>
      </c>
      <c r="AB17" s="29">
        <v>58.588095238095235</v>
      </c>
      <c r="AC17" s="28">
        <v>125.56004796041066</v>
      </c>
      <c r="AD17" s="29">
        <v>7.0609307359307536</v>
      </c>
    </row>
    <row r="19" spans="1:30" x14ac:dyDescent="0.3">
      <c r="Y19" s="24"/>
      <c r="Z19" s="25"/>
    </row>
  </sheetData>
  <mergeCells count="17">
    <mergeCell ref="A17:B17"/>
    <mergeCell ref="W3:X3"/>
    <mergeCell ref="Y3:Z3"/>
    <mergeCell ref="AA3:AB3"/>
    <mergeCell ref="AC3:AD3"/>
    <mergeCell ref="K3:L3"/>
    <mergeCell ref="M3:N3"/>
    <mergeCell ref="O3:P3"/>
    <mergeCell ref="Q3:R3"/>
    <mergeCell ref="S3:T3"/>
    <mergeCell ref="U3:V3"/>
    <mergeCell ref="A3:A4"/>
    <mergeCell ref="B3:B4"/>
    <mergeCell ref="C3:D3"/>
    <mergeCell ref="E3:F3"/>
    <mergeCell ref="G3:H3"/>
    <mergeCell ref="I3:J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BENIN (2)</vt:lpstr>
      <vt:lpstr>BENIN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2023-11-15T22:08:26Z</dcterms:created>
  <dcterms:modified xsi:type="dcterms:W3CDTF">2023-11-15T22:34:51Z</dcterms:modified>
</cp:coreProperties>
</file>