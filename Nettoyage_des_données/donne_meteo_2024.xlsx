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MES DOCUMENTS\DSA\DSA 2024\PLUVIOMETRIE\PLUVIOMETRIE 2024\"/>
    </mc:Choice>
  </mc:AlternateContent>
  <xr:revisionPtr revIDLastSave="0" documentId="8_{ECB70B8E-25A7-42A4-9631-38E620C96B16}" xr6:coauthVersionLast="47" xr6:coauthVersionMax="47" xr10:uidLastSave="{00000000-0000-0000-0000-000000000000}"/>
  <bookViews>
    <workbookView xWindow="-110" yWindow="-110" windowWidth="19420" windowHeight="10300" xr2:uid="{1CECB29F-8C6B-4282-B32B-0E4412A7BE14}"/>
  </bookViews>
  <sheets>
    <sheet name="BENIN (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9" i="1" l="1"/>
  <c r="I99" i="1"/>
  <c r="H99" i="1"/>
  <c r="G99" i="1"/>
  <c r="F99" i="1"/>
  <c r="E99" i="1"/>
  <c r="D99" i="1"/>
  <c r="C99" i="1"/>
  <c r="J98" i="1"/>
  <c r="I98" i="1"/>
  <c r="H98" i="1"/>
  <c r="G98" i="1"/>
  <c r="F98" i="1"/>
  <c r="E98" i="1"/>
  <c r="D98" i="1"/>
  <c r="C98" i="1"/>
  <c r="J97" i="1"/>
  <c r="I97" i="1"/>
  <c r="H97" i="1"/>
  <c r="G97" i="1"/>
  <c r="F97" i="1"/>
  <c r="E97" i="1"/>
  <c r="D97" i="1"/>
  <c r="C97" i="1"/>
  <c r="J96" i="1"/>
  <c r="I96" i="1"/>
  <c r="H96" i="1"/>
  <c r="G96" i="1"/>
  <c r="F96" i="1"/>
  <c r="E96" i="1"/>
  <c r="D96" i="1"/>
  <c r="C96" i="1"/>
  <c r="J95" i="1"/>
  <c r="I95" i="1"/>
  <c r="H95" i="1"/>
  <c r="G95" i="1"/>
  <c r="F95" i="1"/>
  <c r="E95" i="1"/>
  <c r="D95" i="1"/>
  <c r="C95" i="1"/>
  <c r="J94" i="1"/>
  <c r="I94" i="1"/>
  <c r="H94" i="1"/>
  <c r="G94" i="1"/>
  <c r="F94" i="1"/>
  <c r="E94" i="1"/>
  <c r="D94" i="1"/>
  <c r="C94" i="1"/>
  <c r="J93" i="1"/>
  <c r="I93" i="1"/>
  <c r="H93" i="1"/>
  <c r="G93" i="1"/>
  <c r="F93" i="1"/>
  <c r="E93" i="1"/>
  <c r="D93" i="1"/>
  <c r="C93" i="1"/>
  <c r="J92" i="1"/>
  <c r="I92" i="1"/>
  <c r="H92" i="1"/>
  <c r="G92" i="1"/>
  <c r="F92" i="1"/>
  <c r="E92" i="1"/>
  <c r="D92" i="1"/>
  <c r="C92" i="1"/>
  <c r="J91" i="1"/>
  <c r="I91" i="1"/>
  <c r="H91" i="1"/>
  <c r="G91" i="1"/>
  <c r="F91" i="1"/>
  <c r="E91" i="1"/>
  <c r="D91" i="1"/>
  <c r="C91" i="1"/>
  <c r="J90" i="1"/>
  <c r="I90" i="1"/>
  <c r="H90" i="1"/>
  <c r="G90" i="1"/>
  <c r="F90" i="1"/>
  <c r="E90" i="1"/>
  <c r="D90" i="1"/>
  <c r="C90" i="1"/>
  <c r="J89" i="1"/>
  <c r="I89" i="1"/>
  <c r="H89" i="1"/>
  <c r="G89" i="1"/>
  <c r="F89" i="1"/>
  <c r="E89" i="1"/>
  <c r="D89" i="1"/>
  <c r="C89" i="1"/>
  <c r="J88" i="1"/>
  <c r="I88" i="1"/>
  <c r="H88" i="1"/>
  <c r="G88" i="1"/>
  <c r="F88" i="1"/>
  <c r="E88" i="1"/>
  <c r="D88" i="1"/>
  <c r="C88" i="1"/>
  <c r="J87" i="1"/>
  <c r="I87" i="1"/>
  <c r="H87" i="1"/>
  <c r="G87" i="1"/>
  <c r="F87" i="1"/>
  <c r="E87" i="1"/>
  <c r="D87" i="1"/>
  <c r="C87" i="1"/>
  <c r="J86" i="1"/>
  <c r="I86" i="1"/>
  <c r="H86" i="1"/>
  <c r="G86" i="1"/>
  <c r="F86" i="1"/>
  <c r="E86" i="1"/>
  <c r="D86" i="1"/>
  <c r="C86" i="1"/>
  <c r="J85" i="1"/>
  <c r="I85" i="1"/>
  <c r="H85" i="1"/>
  <c r="G85" i="1"/>
  <c r="F85" i="1"/>
  <c r="E85" i="1"/>
  <c r="D85" i="1"/>
  <c r="C85" i="1"/>
  <c r="J84" i="1"/>
  <c r="I84" i="1"/>
  <c r="H84" i="1"/>
  <c r="G84" i="1"/>
  <c r="F84" i="1"/>
  <c r="E84" i="1"/>
  <c r="D84" i="1"/>
  <c r="C84" i="1"/>
  <c r="J83" i="1"/>
  <c r="I83" i="1"/>
  <c r="H83" i="1"/>
  <c r="G83" i="1"/>
  <c r="F83" i="1"/>
  <c r="E83" i="1"/>
  <c r="D83" i="1"/>
  <c r="C83" i="1"/>
  <c r="J82" i="1"/>
  <c r="I82" i="1"/>
  <c r="H82" i="1"/>
  <c r="G82" i="1"/>
  <c r="F82" i="1"/>
  <c r="E82" i="1"/>
  <c r="D82" i="1"/>
  <c r="C82" i="1"/>
  <c r="J81" i="1"/>
  <c r="I81" i="1"/>
  <c r="H81" i="1"/>
  <c r="G81" i="1"/>
  <c r="F81" i="1"/>
  <c r="E81" i="1"/>
  <c r="D81" i="1"/>
  <c r="C81" i="1"/>
  <c r="J80" i="1"/>
  <c r="I80" i="1"/>
  <c r="H80" i="1"/>
  <c r="G80" i="1"/>
  <c r="F80" i="1"/>
  <c r="E80" i="1"/>
  <c r="D80" i="1"/>
  <c r="C80" i="1"/>
  <c r="J79" i="1"/>
  <c r="I79" i="1"/>
  <c r="H79" i="1"/>
  <c r="G79" i="1"/>
  <c r="F79" i="1"/>
  <c r="E79" i="1"/>
  <c r="D79" i="1"/>
  <c r="C79" i="1"/>
  <c r="J78" i="1"/>
  <c r="I78" i="1"/>
  <c r="H78" i="1"/>
  <c r="G78" i="1"/>
  <c r="F78" i="1"/>
  <c r="E78" i="1"/>
  <c r="D78" i="1"/>
  <c r="C78" i="1"/>
  <c r="J77" i="1"/>
  <c r="I77" i="1"/>
  <c r="H77" i="1"/>
  <c r="G77" i="1"/>
  <c r="F77" i="1"/>
  <c r="E77" i="1"/>
  <c r="D77" i="1"/>
  <c r="C77" i="1"/>
  <c r="J76" i="1"/>
  <c r="I76" i="1"/>
  <c r="H76" i="1"/>
  <c r="G76" i="1"/>
  <c r="F76" i="1"/>
  <c r="E76" i="1"/>
  <c r="D76" i="1"/>
  <c r="C76" i="1"/>
  <c r="J75" i="1"/>
  <c r="I75" i="1"/>
  <c r="H75" i="1"/>
  <c r="G75" i="1"/>
  <c r="F75" i="1"/>
  <c r="E75" i="1"/>
  <c r="D75" i="1"/>
  <c r="C75" i="1"/>
  <c r="J74" i="1"/>
  <c r="I74" i="1"/>
  <c r="H74" i="1"/>
  <c r="G74" i="1"/>
  <c r="F74" i="1"/>
  <c r="E74" i="1"/>
  <c r="D74" i="1"/>
  <c r="C74" i="1"/>
  <c r="J73" i="1"/>
  <c r="I73" i="1"/>
  <c r="H73" i="1"/>
  <c r="G73" i="1"/>
  <c r="F73" i="1"/>
  <c r="E73" i="1"/>
  <c r="D73" i="1"/>
  <c r="C73" i="1"/>
  <c r="J72" i="1"/>
  <c r="I72" i="1"/>
  <c r="H72" i="1"/>
  <c r="G72" i="1"/>
  <c r="F72" i="1"/>
  <c r="E72" i="1"/>
  <c r="D72" i="1"/>
  <c r="C72" i="1"/>
  <c r="J71" i="1"/>
  <c r="I71" i="1"/>
  <c r="H71" i="1"/>
  <c r="G71" i="1"/>
  <c r="F71" i="1"/>
  <c r="E71" i="1"/>
  <c r="D71" i="1"/>
  <c r="C71" i="1"/>
  <c r="J70" i="1"/>
  <c r="I70" i="1"/>
  <c r="H70" i="1"/>
  <c r="G70" i="1"/>
  <c r="F70" i="1"/>
  <c r="E70" i="1"/>
  <c r="D70" i="1"/>
  <c r="C70" i="1"/>
  <c r="J69" i="1"/>
  <c r="I69" i="1"/>
  <c r="H69" i="1"/>
  <c r="G69" i="1"/>
  <c r="F69" i="1"/>
  <c r="E69" i="1"/>
  <c r="D69" i="1"/>
  <c r="C69" i="1"/>
  <c r="J68" i="1"/>
  <c r="I68" i="1"/>
  <c r="H68" i="1"/>
  <c r="G68" i="1"/>
  <c r="F68" i="1"/>
  <c r="E68" i="1"/>
  <c r="D68" i="1"/>
  <c r="C68" i="1"/>
  <c r="J67" i="1"/>
  <c r="I67" i="1"/>
  <c r="H67" i="1"/>
  <c r="G67" i="1"/>
  <c r="F67" i="1"/>
  <c r="E67" i="1"/>
  <c r="D67" i="1"/>
  <c r="C67" i="1"/>
  <c r="J66" i="1"/>
  <c r="I66" i="1"/>
  <c r="H66" i="1"/>
  <c r="G66" i="1"/>
  <c r="F66" i="1"/>
  <c r="E66" i="1"/>
  <c r="D66" i="1"/>
  <c r="C66" i="1"/>
  <c r="J65" i="1"/>
  <c r="I65" i="1"/>
  <c r="H65" i="1"/>
  <c r="G65" i="1"/>
  <c r="F65" i="1"/>
  <c r="E65" i="1"/>
  <c r="D65" i="1"/>
  <c r="C65" i="1"/>
  <c r="J64" i="1"/>
  <c r="I64" i="1"/>
  <c r="H64" i="1"/>
  <c r="G64" i="1"/>
  <c r="F64" i="1"/>
  <c r="E64" i="1"/>
  <c r="D64" i="1"/>
  <c r="C64" i="1"/>
  <c r="J63" i="1"/>
  <c r="I63" i="1"/>
  <c r="H63" i="1"/>
  <c r="G63" i="1"/>
  <c r="F63" i="1"/>
  <c r="E63" i="1"/>
  <c r="D63" i="1"/>
  <c r="C63" i="1"/>
  <c r="J62" i="1"/>
  <c r="I62" i="1"/>
  <c r="H62" i="1"/>
  <c r="G62" i="1"/>
  <c r="F62" i="1"/>
  <c r="E62" i="1"/>
  <c r="D62" i="1"/>
  <c r="C62" i="1"/>
  <c r="J61" i="1"/>
  <c r="I61" i="1"/>
  <c r="H61" i="1"/>
  <c r="G61" i="1"/>
  <c r="F61" i="1"/>
  <c r="E61" i="1"/>
  <c r="D61" i="1"/>
  <c r="C61" i="1"/>
  <c r="J60" i="1"/>
  <c r="I60" i="1"/>
  <c r="H60" i="1"/>
  <c r="G60" i="1"/>
  <c r="F60" i="1"/>
  <c r="E60" i="1"/>
  <c r="D60" i="1"/>
  <c r="C60" i="1"/>
  <c r="J59" i="1"/>
  <c r="I59" i="1"/>
  <c r="H59" i="1"/>
  <c r="G59" i="1"/>
  <c r="F59" i="1"/>
  <c r="E59" i="1"/>
  <c r="D59" i="1"/>
  <c r="C59" i="1"/>
  <c r="J58" i="1"/>
  <c r="I58" i="1"/>
  <c r="H58" i="1"/>
  <c r="G58" i="1"/>
  <c r="F58" i="1"/>
  <c r="E58" i="1"/>
  <c r="D58" i="1"/>
  <c r="C58" i="1"/>
  <c r="J57" i="1"/>
  <c r="I57" i="1"/>
  <c r="H57" i="1"/>
  <c r="G57" i="1"/>
  <c r="F57" i="1"/>
  <c r="E57" i="1"/>
  <c r="D57" i="1"/>
  <c r="C57" i="1"/>
  <c r="J56" i="1"/>
  <c r="I56" i="1"/>
  <c r="H56" i="1"/>
  <c r="G56" i="1"/>
  <c r="F56" i="1"/>
  <c r="E56" i="1"/>
  <c r="D56" i="1"/>
  <c r="C56" i="1"/>
  <c r="J55" i="1"/>
  <c r="I55" i="1"/>
  <c r="H55" i="1"/>
  <c r="G55" i="1"/>
  <c r="F55" i="1"/>
  <c r="E55" i="1"/>
  <c r="D55" i="1"/>
  <c r="C55" i="1"/>
  <c r="J54" i="1"/>
  <c r="I54" i="1"/>
  <c r="H54" i="1"/>
  <c r="G54" i="1"/>
  <c r="F54" i="1"/>
  <c r="E54" i="1"/>
  <c r="D54" i="1"/>
  <c r="C54" i="1"/>
  <c r="J53" i="1"/>
  <c r="I53" i="1"/>
  <c r="H53" i="1"/>
  <c r="G53" i="1"/>
  <c r="F53" i="1"/>
  <c r="E53" i="1"/>
  <c r="D53" i="1"/>
  <c r="C53" i="1"/>
  <c r="J52" i="1"/>
  <c r="I52" i="1"/>
  <c r="H52" i="1"/>
  <c r="G52" i="1"/>
  <c r="F52" i="1"/>
  <c r="E52" i="1"/>
  <c r="D52" i="1"/>
  <c r="C52" i="1"/>
  <c r="J51" i="1"/>
  <c r="I51" i="1"/>
  <c r="H51" i="1"/>
  <c r="G51" i="1"/>
  <c r="F51" i="1"/>
  <c r="E51" i="1"/>
  <c r="D51" i="1"/>
  <c r="C51" i="1"/>
  <c r="J50" i="1"/>
  <c r="I50" i="1"/>
  <c r="H50" i="1"/>
  <c r="G50" i="1"/>
  <c r="F50" i="1"/>
  <c r="E50" i="1"/>
  <c r="D50" i="1"/>
  <c r="C50" i="1"/>
  <c r="J49" i="1"/>
  <c r="I49" i="1"/>
  <c r="H49" i="1"/>
  <c r="G49" i="1"/>
  <c r="F49" i="1"/>
  <c r="E49" i="1"/>
  <c r="D49" i="1"/>
  <c r="C49" i="1"/>
  <c r="J48" i="1"/>
  <c r="I48" i="1"/>
  <c r="H48" i="1"/>
  <c r="G48" i="1"/>
  <c r="F48" i="1"/>
  <c r="E48" i="1"/>
  <c r="D48" i="1"/>
  <c r="C48" i="1"/>
  <c r="J47" i="1"/>
  <c r="I47" i="1"/>
  <c r="H47" i="1"/>
  <c r="G47" i="1"/>
  <c r="F47" i="1"/>
  <c r="E47" i="1"/>
  <c r="D47" i="1"/>
  <c r="C47" i="1"/>
  <c r="J46" i="1"/>
  <c r="I46" i="1"/>
  <c r="H46" i="1"/>
  <c r="G46" i="1"/>
  <c r="F46" i="1"/>
  <c r="E46" i="1"/>
  <c r="D46" i="1"/>
  <c r="C46" i="1"/>
  <c r="J45" i="1"/>
  <c r="I45" i="1"/>
  <c r="H45" i="1"/>
  <c r="G45" i="1"/>
  <c r="F45" i="1"/>
  <c r="E45" i="1"/>
  <c r="D45" i="1"/>
  <c r="C45" i="1"/>
  <c r="J44" i="1"/>
  <c r="I44" i="1"/>
  <c r="H44" i="1"/>
  <c r="G44" i="1"/>
  <c r="F44" i="1"/>
  <c r="E44" i="1"/>
  <c r="D44" i="1"/>
  <c r="C44" i="1"/>
  <c r="J43" i="1"/>
  <c r="I43" i="1"/>
  <c r="H43" i="1"/>
  <c r="G43" i="1"/>
  <c r="F43" i="1"/>
  <c r="E43" i="1"/>
  <c r="D43" i="1"/>
  <c r="C43" i="1"/>
  <c r="J42" i="1"/>
  <c r="I42" i="1"/>
  <c r="H42" i="1"/>
  <c r="G42" i="1"/>
  <c r="F42" i="1"/>
  <c r="E42" i="1"/>
  <c r="D42" i="1"/>
  <c r="C42" i="1"/>
  <c r="J41" i="1"/>
  <c r="I41" i="1"/>
  <c r="H41" i="1"/>
  <c r="G41" i="1"/>
  <c r="F41" i="1"/>
  <c r="E41" i="1"/>
  <c r="D41" i="1"/>
  <c r="C41" i="1"/>
  <c r="J40" i="1"/>
  <c r="I40" i="1"/>
  <c r="H40" i="1"/>
  <c r="G40" i="1"/>
  <c r="F40" i="1"/>
  <c r="E40" i="1"/>
  <c r="D40" i="1"/>
  <c r="C40" i="1"/>
  <c r="J39" i="1"/>
  <c r="I39" i="1"/>
  <c r="H39" i="1"/>
  <c r="G39" i="1"/>
  <c r="F39" i="1"/>
  <c r="E39" i="1"/>
  <c r="D39" i="1"/>
  <c r="C39" i="1"/>
  <c r="J38" i="1"/>
  <c r="I38" i="1"/>
  <c r="H38" i="1"/>
  <c r="G38" i="1"/>
  <c r="F38" i="1"/>
  <c r="E38" i="1"/>
  <c r="D38" i="1"/>
  <c r="C38" i="1"/>
  <c r="J37" i="1"/>
  <c r="I37" i="1"/>
  <c r="H37" i="1"/>
  <c r="G37" i="1"/>
  <c r="F37" i="1"/>
  <c r="E37" i="1"/>
  <c r="D37" i="1"/>
  <c r="C37" i="1"/>
  <c r="J36" i="1"/>
  <c r="I36" i="1"/>
  <c r="H36" i="1"/>
  <c r="G36" i="1"/>
  <c r="F36" i="1"/>
  <c r="E36" i="1"/>
  <c r="D36" i="1"/>
  <c r="C36" i="1"/>
  <c r="J35" i="1"/>
  <c r="I35" i="1"/>
  <c r="H35" i="1"/>
  <c r="G35" i="1"/>
  <c r="F35" i="1"/>
  <c r="E35" i="1"/>
  <c r="D35" i="1"/>
  <c r="C35" i="1"/>
  <c r="J34" i="1"/>
  <c r="I34" i="1"/>
  <c r="H34" i="1"/>
  <c r="G34" i="1"/>
  <c r="F34" i="1"/>
  <c r="E34" i="1"/>
  <c r="D34" i="1"/>
  <c r="C34" i="1"/>
  <c r="J33" i="1"/>
  <c r="I33" i="1"/>
  <c r="H33" i="1"/>
  <c r="G33" i="1"/>
  <c r="F33" i="1"/>
  <c r="E33" i="1"/>
  <c r="D33" i="1"/>
  <c r="C33" i="1"/>
  <c r="J32" i="1"/>
  <c r="I32" i="1"/>
  <c r="H32" i="1"/>
  <c r="G32" i="1"/>
  <c r="F32" i="1"/>
  <c r="E32" i="1"/>
  <c r="D32" i="1"/>
  <c r="C32" i="1"/>
  <c r="J31" i="1"/>
  <c r="I31" i="1"/>
  <c r="H31" i="1"/>
  <c r="G31" i="1"/>
  <c r="F31" i="1"/>
  <c r="E31" i="1"/>
  <c r="D31" i="1"/>
  <c r="C31" i="1"/>
  <c r="J30" i="1"/>
  <c r="I30" i="1"/>
  <c r="H30" i="1"/>
  <c r="G30" i="1"/>
  <c r="F30" i="1"/>
  <c r="E30" i="1"/>
  <c r="D30" i="1"/>
  <c r="C30" i="1"/>
  <c r="J29" i="1"/>
  <c r="I29" i="1"/>
  <c r="H29" i="1"/>
  <c r="G29" i="1"/>
  <c r="F29" i="1"/>
  <c r="E29" i="1"/>
  <c r="D29" i="1"/>
  <c r="C29" i="1"/>
  <c r="J28" i="1"/>
  <c r="I28" i="1"/>
  <c r="H28" i="1"/>
  <c r="G28" i="1"/>
  <c r="F28" i="1"/>
  <c r="E28" i="1"/>
  <c r="D28" i="1"/>
  <c r="C28" i="1"/>
  <c r="J27" i="1"/>
  <c r="I27" i="1"/>
  <c r="H27" i="1"/>
  <c r="G27" i="1"/>
  <c r="F27" i="1"/>
  <c r="E27" i="1"/>
  <c r="D27" i="1"/>
  <c r="C27" i="1"/>
  <c r="J26" i="1"/>
  <c r="I26" i="1"/>
  <c r="H26" i="1"/>
  <c r="G26" i="1"/>
  <c r="F26" i="1"/>
  <c r="E26" i="1"/>
  <c r="D26" i="1"/>
  <c r="C26" i="1"/>
  <c r="J25" i="1"/>
  <c r="I25" i="1"/>
  <c r="H25" i="1"/>
  <c r="G25" i="1"/>
  <c r="F25" i="1"/>
  <c r="E25" i="1"/>
  <c r="D25" i="1"/>
  <c r="C25" i="1"/>
  <c r="J24" i="1"/>
  <c r="I24" i="1"/>
  <c r="H24" i="1"/>
  <c r="G24" i="1"/>
  <c r="F24" i="1"/>
  <c r="E24" i="1"/>
  <c r="D24" i="1"/>
  <c r="C24" i="1"/>
  <c r="J23" i="1"/>
  <c r="I23" i="1"/>
  <c r="H23" i="1"/>
  <c r="G23" i="1"/>
  <c r="F23" i="1"/>
  <c r="E23" i="1"/>
  <c r="D23" i="1"/>
  <c r="C23" i="1"/>
  <c r="J22" i="1"/>
  <c r="I22" i="1"/>
  <c r="H22" i="1"/>
  <c r="G22" i="1"/>
  <c r="F22" i="1"/>
  <c r="E22" i="1"/>
  <c r="D22" i="1"/>
  <c r="C22" i="1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5" i="1"/>
  <c r="I15" i="1"/>
  <c r="H15" i="1"/>
  <c r="G15" i="1"/>
  <c r="F15" i="1"/>
  <c r="E15" i="1"/>
  <c r="D15" i="1"/>
  <c r="C15" i="1"/>
  <c r="J14" i="1"/>
  <c r="I14" i="1"/>
  <c r="H14" i="1"/>
  <c r="G14" i="1"/>
  <c r="F14" i="1"/>
  <c r="E14" i="1"/>
  <c r="D14" i="1"/>
  <c r="C14" i="1"/>
  <c r="J13" i="1"/>
  <c r="I13" i="1"/>
  <c r="H13" i="1"/>
  <c r="G13" i="1"/>
  <c r="F13" i="1"/>
  <c r="E13" i="1"/>
  <c r="D13" i="1"/>
  <c r="C13" i="1"/>
  <c r="J12" i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  <c r="J10" i="1"/>
  <c r="I10" i="1"/>
  <c r="H10" i="1"/>
  <c r="G10" i="1"/>
  <c r="F10" i="1"/>
  <c r="E10" i="1"/>
  <c r="D10" i="1"/>
  <c r="C10" i="1"/>
  <c r="J9" i="1"/>
  <c r="I9" i="1"/>
  <c r="H9" i="1"/>
  <c r="G9" i="1"/>
  <c r="F9" i="1"/>
  <c r="E9" i="1"/>
  <c r="D9" i="1"/>
  <c r="C9" i="1"/>
  <c r="J8" i="1"/>
  <c r="I8" i="1"/>
  <c r="H8" i="1"/>
  <c r="G8" i="1"/>
  <c r="F8" i="1"/>
  <c r="E8" i="1"/>
  <c r="D8" i="1"/>
  <c r="C8" i="1"/>
  <c r="J7" i="1"/>
  <c r="I7" i="1"/>
  <c r="H7" i="1"/>
  <c r="G7" i="1"/>
  <c r="F7" i="1"/>
  <c r="E7" i="1"/>
  <c r="D7" i="1"/>
  <c r="C7" i="1"/>
  <c r="J6" i="1"/>
  <c r="I6" i="1"/>
  <c r="H6" i="1"/>
  <c r="G6" i="1"/>
  <c r="F6" i="1"/>
  <c r="E6" i="1"/>
  <c r="D6" i="1"/>
  <c r="C6" i="1"/>
  <c r="J5" i="1"/>
  <c r="J100" i="1" s="1"/>
  <c r="I5" i="1"/>
  <c r="I100" i="1" s="1"/>
  <c r="H5" i="1"/>
  <c r="H100" i="1" s="1"/>
  <c r="G5" i="1"/>
  <c r="G100" i="1" s="1"/>
  <c r="F5" i="1"/>
  <c r="F100" i="1" s="1"/>
  <c r="E5" i="1"/>
  <c r="E100" i="1" s="1"/>
  <c r="D5" i="1"/>
  <c r="D100" i="1" s="1"/>
  <c r="C5" i="1"/>
  <c r="C100" i="1" s="1"/>
</calcChain>
</file>

<file path=xl/sharedStrings.xml><?xml version="1.0" encoding="utf-8"?>
<sst xmlns="http://schemas.openxmlformats.org/spreadsheetml/2006/main" count="137" uniqueCount="113">
  <si>
    <t>N°</t>
  </si>
  <si>
    <t>COMMUNES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</si>
  <si>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</si>
  <si>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</si>
  <si>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</si>
  <si>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</si>
  <si>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</si>
  <si>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</si>
  <si>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</si>
  <si>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</si>
  <si>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</si>
  <si>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</si>
  <si>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</si>
  <si>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</si>
  <si>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Cumul au 31 décembre</t>
  </si>
  <si>
    <t>Haut. (mm)</t>
  </si>
  <si>
    <t>N/J</t>
  </si>
  <si>
    <t>BEMBEREKE</t>
  </si>
  <si>
    <t>KALALE</t>
  </si>
  <si>
    <t>N'DALI</t>
  </si>
  <si>
    <t>NIKKI</t>
  </si>
  <si>
    <t>PARAKOU</t>
  </si>
  <si>
    <t>PERERE</t>
  </si>
  <si>
    <t>SINENDE</t>
  </si>
  <si>
    <t>TCHAOUROU</t>
  </si>
  <si>
    <t>BORGOU</t>
  </si>
  <si>
    <t>BANIKOARA</t>
  </si>
  <si>
    <t>GOGOUNOU</t>
  </si>
  <si>
    <t>KANDI</t>
  </si>
  <si>
    <t>KARIMAMA</t>
  </si>
  <si>
    <t>MALANVILLE</t>
  </si>
  <si>
    <t>SEGBANA</t>
  </si>
  <si>
    <t>ALIBORI</t>
  </si>
  <si>
    <t>BORGOU-ALIBORI</t>
  </si>
  <si>
    <t>BOUKOUMBE</t>
  </si>
  <si>
    <t>COBLY</t>
  </si>
  <si>
    <t>KEROU</t>
  </si>
  <si>
    <t>KOUANDE</t>
  </si>
  <si>
    <t>MATERI</t>
  </si>
  <si>
    <t>NATITINGOU</t>
  </si>
  <si>
    <t>PEHUNCO</t>
  </si>
  <si>
    <t>TANGUIETA</t>
  </si>
  <si>
    <t>TOUCOUNTOUNA</t>
  </si>
  <si>
    <t>ATACORA</t>
  </si>
  <si>
    <t>BASSILA</t>
  </si>
  <si>
    <t>COPARGO</t>
  </si>
  <si>
    <t>DJOUGOU</t>
  </si>
  <si>
    <t>OUAKE</t>
  </si>
  <si>
    <t>DONGA</t>
  </si>
  <si>
    <t>ATACORA-DONGA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</si>
  <si>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</si>
  <si>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</si>
  <si>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</si>
  <si>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</si>
  <si>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</si>
  <si>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</si>
  <si>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</si>
  <si>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</si>
  <si>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</si>
  <si>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ZOU</t>
  </si>
  <si>
    <t>BANTE</t>
  </si>
  <si>
    <t>DASSA-ZOUME</t>
  </si>
  <si>
    <t>GLAZOUE</t>
  </si>
  <si>
    <t>OUESSE</t>
  </si>
  <si>
    <t>SAVALOU</t>
  </si>
  <si>
    <t>SAVE</t>
  </si>
  <si>
    <t>COLLINES</t>
  </si>
  <si>
    <t>ZOU-COLLINES</t>
  </si>
  <si>
    <t>ATHIEME</t>
  </si>
  <si>
    <t>BOPA</t>
  </si>
  <si>
    <t>COME</t>
  </si>
  <si>
    <t>GRAND-POPO</t>
  </si>
  <si>
    <t>HOUEYOGBE</t>
  </si>
  <si>
    <t xml:space="preserve">LOKOSSA </t>
  </si>
  <si>
    <t>MONO</t>
  </si>
  <si>
    <t>APLAHOUE</t>
  </si>
  <si>
    <t>DJAKOTOMEY</t>
  </si>
  <si>
    <t>DOGBO</t>
  </si>
  <si>
    <t>KLOUEKANME</t>
  </si>
  <si>
    <t>LALO</t>
  </si>
  <si>
    <t>TOVIKLIN</t>
  </si>
  <si>
    <t>COUFFO</t>
  </si>
  <si>
    <t>MONO-COUFFO</t>
  </si>
  <si>
    <t>ADJARRA</t>
  </si>
  <si>
    <t>ADJOHOUN</t>
  </si>
  <si>
    <t>AGUEGUES</t>
  </si>
  <si>
    <t>AKPRO-MISSERETE</t>
  </si>
  <si>
    <t>AVRANKOU</t>
  </si>
  <si>
    <t>BONOU</t>
  </si>
  <si>
    <t>DANGBO</t>
  </si>
  <si>
    <t>PORTO-NOVO</t>
  </si>
  <si>
    <t>SEME-PODJI</t>
  </si>
  <si>
    <t>OUEME</t>
  </si>
  <si>
    <t>ADJA-OUERE</t>
  </si>
  <si>
    <t>IFANGNI</t>
  </si>
  <si>
    <t>KETOU</t>
  </si>
  <si>
    <t>POBE</t>
  </si>
  <si>
    <t>SAKETE</t>
  </si>
  <si>
    <t>PLATEAU</t>
  </si>
  <si>
    <t>OUEME-PLATEAU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</si>
  <si>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</si>
  <si>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</si>
  <si>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</si>
  <si>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</si>
  <si>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</si>
  <si>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</si>
  <si>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</si>
  <si>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</si>
  <si>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ATLANTIQUE</t>
  </si>
  <si>
    <t>COTONOU</t>
  </si>
  <si>
    <t>LITTORAL</t>
  </si>
  <si>
    <t>ATLANTIQUE-LITTORAL</t>
  </si>
  <si>
    <t>BENIN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</si>
</sst>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b/>
      <sz val="9"/>
      <color theme="1"/>
      <name val="Courier New"/>
      <family val="3"/>
    </font>
    <font>
      <sz val="10"/>
      <name val="Arial"/>
      <family val="2"/>
    </font>
    <font>
      <sz val="8"/>
      <name val="Arial Narrow"/>
      <family val="2"/>
    </font>
    <font>
      <b/>
      <sz val="16"/>
      <color theme="1"/>
      <name val="Courier New"/>
      <family val="3"/>
    </font>
    <font>
      <b/>
      <sz val="8"/>
      <name val="Arial Narrow"/>
      <family val="2"/>
    </font>
    <font>
      <b/>
      <sz val="9"/>
      <color rgb="FF000000"/>
      <name val="Courier New"/>
      <family val="3"/>
    </font>
    <font>
      <sz val="9"/>
      <color theme="1"/>
      <name val="Courier New"/>
      <family val="3"/>
    </font>
    <font>
      <b/>
      <sz val="14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5">
    <xf numFmtId="0" fontId="0" fillId="0" borderId="0" xfId="0"/>
    <xf numFmtId="0" fontId="1" fillId="0" borderId="1" xfId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1" fillId="0" borderId="0" xfId="1"/>
    <xf numFmtId="0" fontId="1" fillId="0" borderId="4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3" fillId="0" borderId="5" xfId="1" applyFont="1" applyBorder="1" applyAlignment="1">
      <alignment vertical="center" wrapText="1"/>
    </xf>
    <xf numFmtId="2" fontId="5" fillId="0" borderId="5" xfId="2" applyNumberFormat="1" applyFont="1" applyBorder="1" applyAlignment="1">
      <alignment horizontal="center" vertical="center"/>
    </xf>
    <xf numFmtId="1" fontId="5" fillId="0" borderId="5" xfId="2" applyNumberFormat="1" applyFont="1" applyBorder="1" applyAlignment="1">
      <alignment horizontal="center" vertical="center"/>
    </xf>
    <xf numFmtId="2" fontId="5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0" fontId="6" fillId="0" borderId="5" xfId="1" applyFont="1" applyBorder="1" applyAlignment="1">
      <alignment horizontal="center" vertical="center" wrapText="1"/>
    </xf>
    <xf numFmtId="2" fontId="7" fillId="0" borderId="5" xfId="2" applyNumberFormat="1" applyFont="1" applyBorder="1" applyAlignment="1">
      <alignment horizontal="center" vertical="center"/>
    </xf>
    <xf numFmtId="0" fontId="8" fillId="0" borderId="5" xfId="1" applyFont="1" applyBorder="1" applyAlignment="1">
      <alignment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9" fillId="0" borderId="5" xfId="1" applyFont="1" applyBorder="1" applyAlignment="1">
      <alignment vertical="center" wrapText="1"/>
    </xf>
    <xf numFmtId="0" fontId="10" fillId="0" borderId="5" xfId="1" applyFont="1" applyBorder="1" applyAlignment="1">
      <alignment horizontal="center" vertical="center" wrapText="1"/>
    </xf>
    <xf numFmtId="2" fontId="1" fillId="0" borderId="0" xfId="1" applyNumberFormat="1"/>
    <xf numFmtId="1" fontId="1" fillId="0" borderId="0" xfId="1" applyNumberFormat="1"/>
  </cellXfs>
  <cellStyles count="3">
    <cellStyle name="Normal" xfId="0" builtinId="0"/>
    <cellStyle name="Normal 2" xfId="1" xr:uid="{820D370A-7FB9-4BEF-9AED-3405956B5C88}"/>
    <cellStyle name="Normal 2 2" xfId="2" xr:uid="{E741F65C-7194-4C2E-A075-CA6793DE34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MES%20DOCUMENTS\DSA\DSA%202024\PLUVIOMETRIE\PLUVIOMETRIE%202024\BASE_PLUV_2024.xls" TargetMode="External"/><Relationship Id="rId1" Type="http://schemas.openxmlformats.org/officeDocument/2006/relationships/externalLinkPath" Target="BASE_PLUV_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NIN (2)"/>
      <sheetName val="ATL-LITO"/>
      <sheetName val="OUE-PLAT"/>
      <sheetName val="MON-COUF"/>
      <sheetName val="ZOU-COLL"/>
      <sheetName val="ATAC-DONG"/>
      <sheetName val="BORG-ALIB"/>
      <sheetName val="COMPIL"/>
      <sheetName val="Impression"/>
      <sheetName val="SITUATION GLOBALE"/>
      <sheetName val="SYNTHESE COMMUNE MOIS 1"/>
      <sheetName val="SYNTHESE DEPARTEMENT"/>
      <sheetName val="SYNTHESE COMMUNE DECADE"/>
    </sheetNames>
    <sheetDataSet>
      <sheetData sheetId="0"/>
      <sheetData sheetId="1">
        <row r="9">
          <cell r="I9">
            <v>0</v>
          </cell>
          <cell r="J9">
            <v>0</v>
          </cell>
          <cell r="Q9">
            <v>0</v>
          </cell>
          <cell r="R9">
            <v>0</v>
          </cell>
          <cell r="Y9">
            <v>85</v>
          </cell>
          <cell r="Z9">
            <v>5</v>
          </cell>
          <cell r="AG9">
            <v>85</v>
          </cell>
          <cell r="AH9">
            <v>5</v>
          </cell>
        </row>
        <row r="12">
          <cell r="I12">
            <v>0</v>
          </cell>
          <cell r="J12">
            <v>0</v>
          </cell>
          <cell r="Q12">
            <v>62.5</v>
          </cell>
          <cell r="R12">
            <v>1.5</v>
          </cell>
          <cell r="Y12">
            <v>101</v>
          </cell>
          <cell r="Z12">
            <v>3.5</v>
          </cell>
          <cell r="AG12">
            <v>88</v>
          </cell>
          <cell r="AH12">
            <v>6.5</v>
          </cell>
        </row>
        <row r="15">
          <cell r="I15">
            <v>0</v>
          </cell>
          <cell r="J15">
            <v>0</v>
          </cell>
          <cell r="Q15">
            <v>4</v>
          </cell>
          <cell r="R15">
            <v>1</v>
          </cell>
          <cell r="Y15">
            <v>110</v>
          </cell>
          <cell r="Z15">
            <v>2</v>
          </cell>
          <cell r="AG15">
            <v>181</v>
          </cell>
          <cell r="AH15">
            <v>6</v>
          </cell>
        </row>
        <row r="18">
          <cell r="I18">
            <v>0</v>
          </cell>
          <cell r="J18">
            <v>0</v>
          </cell>
          <cell r="Q18">
            <v>3.5</v>
          </cell>
          <cell r="R18">
            <v>1.5</v>
          </cell>
          <cell r="Y18">
            <v>40.85</v>
          </cell>
          <cell r="Z18">
            <v>2.5</v>
          </cell>
          <cell r="AG18">
            <v>144.25</v>
          </cell>
          <cell r="AH18">
            <v>7.5</v>
          </cell>
        </row>
        <row r="21">
          <cell r="I21">
            <v>0</v>
          </cell>
          <cell r="J21">
            <v>0</v>
          </cell>
          <cell r="Q21">
            <v>6</v>
          </cell>
          <cell r="R21">
            <v>1</v>
          </cell>
          <cell r="Y21">
            <v>40</v>
          </cell>
          <cell r="Z21">
            <v>3</v>
          </cell>
          <cell r="AG21">
            <v>110</v>
          </cell>
          <cell r="AH21">
            <v>6</v>
          </cell>
        </row>
        <row r="24">
          <cell r="I24">
            <v>44</v>
          </cell>
          <cell r="J24">
            <v>2</v>
          </cell>
          <cell r="Q24">
            <v>7.5</v>
          </cell>
          <cell r="R24">
            <v>0.5</v>
          </cell>
          <cell r="Y24">
            <v>82.5</v>
          </cell>
          <cell r="Z24">
            <v>4</v>
          </cell>
          <cell r="AG24">
            <v>174.5</v>
          </cell>
          <cell r="AH24">
            <v>6.5</v>
          </cell>
        </row>
        <row r="27">
          <cell r="I27">
            <v>0</v>
          </cell>
          <cell r="J27">
            <v>0</v>
          </cell>
          <cell r="Q27">
            <v>12</v>
          </cell>
          <cell r="R27">
            <v>1.5</v>
          </cell>
          <cell r="Y27">
            <v>52</v>
          </cell>
          <cell r="Z27">
            <v>3</v>
          </cell>
          <cell r="AG27">
            <v>126</v>
          </cell>
          <cell r="AH27">
            <v>4.5</v>
          </cell>
        </row>
        <row r="30">
          <cell r="I30">
            <v>20</v>
          </cell>
          <cell r="J30">
            <v>1</v>
          </cell>
          <cell r="Q30">
            <v>8</v>
          </cell>
          <cell r="R30">
            <v>2</v>
          </cell>
          <cell r="Y30">
            <v>106</v>
          </cell>
          <cell r="Z30">
            <v>4</v>
          </cell>
          <cell r="AG30">
            <v>76</v>
          </cell>
          <cell r="AH30">
            <v>4</v>
          </cell>
        </row>
        <row r="31">
          <cell r="I31">
            <v>9</v>
          </cell>
          <cell r="J31">
            <v>0.41666666666666669</v>
          </cell>
          <cell r="Q31">
            <v>15.75</v>
          </cell>
          <cell r="R31">
            <v>1.1666666666666667</v>
          </cell>
          <cell r="Y31">
            <v>74.474999999999994</v>
          </cell>
          <cell r="Z31">
            <v>3.333333333333333</v>
          </cell>
          <cell r="AG31">
            <v>126.45833333333334</v>
          </cell>
          <cell r="AH31">
            <v>5.9166666666666661</v>
          </cell>
        </row>
        <row r="35">
          <cell r="I35">
            <v>0</v>
          </cell>
          <cell r="J35">
            <v>0</v>
          </cell>
          <cell r="Q35">
            <v>20.2</v>
          </cell>
          <cell r="R35">
            <v>2</v>
          </cell>
          <cell r="Y35">
            <v>37.200000000000003</v>
          </cell>
          <cell r="Z35">
            <v>3</v>
          </cell>
          <cell r="AG35">
            <v>37.299999999999997</v>
          </cell>
          <cell r="AH35">
            <v>6</v>
          </cell>
        </row>
        <row r="36">
          <cell r="I36">
            <v>8.3076923076923084</v>
          </cell>
          <cell r="J36">
            <v>0.38461538461538464</v>
          </cell>
          <cell r="Q36">
            <v>16.092307692307692</v>
          </cell>
          <cell r="R36">
            <v>1.2307692307692308</v>
          </cell>
          <cell r="Y36">
            <v>71.607692307692304</v>
          </cell>
          <cell r="Z36">
            <v>3.3076923076923075</v>
          </cell>
          <cell r="AG36">
            <v>119.60000000000001</v>
          </cell>
          <cell r="AH36">
            <v>5.9230769230769234</v>
          </cell>
        </row>
      </sheetData>
      <sheetData sheetId="2">
        <row r="9">
          <cell r="I9">
            <v>0</v>
          </cell>
          <cell r="J9">
            <v>0</v>
          </cell>
          <cell r="Q9">
            <v>0</v>
          </cell>
          <cell r="R9">
            <v>0</v>
          </cell>
          <cell r="Y9">
            <v>101.5</v>
          </cell>
          <cell r="Z9">
            <v>3</v>
          </cell>
          <cell r="AG9">
            <v>146</v>
          </cell>
          <cell r="AH9">
            <v>7</v>
          </cell>
        </row>
        <row r="13">
          <cell r="I13">
            <v>0</v>
          </cell>
          <cell r="J13">
            <v>0</v>
          </cell>
          <cell r="Q13">
            <v>2.1999999999999997</v>
          </cell>
          <cell r="R13">
            <v>1</v>
          </cell>
          <cell r="Y13">
            <v>44.6</v>
          </cell>
          <cell r="Z13">
            <v>5</v>
          </cell>
          <cell r="AG13">
            <v>95.199999999999989</v>
          </cell>
          <cell r="AH13">
            <v>7</v>
          </cell>
        </row>
        <row r="15">
          <cell r="I15">
            <v>0</v>
          </cell>
          <cell r="J15">
            <v>0</v>
          </cell>
          <cell r="Q15">
            <v>44.1</v>
          </cell>
          <cell r="R15">
            <v>3</v>
          </cell>
          <cell r="Y15">
            <v>64.7</v>
          </cell>
          <cell r="Z15">
            <v>3</v>
          </cell>
          <cell r="AG15">
            <v>161.30000000000001</v>
          </cell>
          <cell r="AH15">
            <v>6</v>
          </cell>
        </row>
        <row r="18">
          <cell r="I18">
            <v>0</v>
          </cell>
          <cell r="J18">
            <v>0</v>
          </cell>
          <cell r="Q18">
            <v>0</v>
          </cell>
          <cell r="R18">
            <v>0</v>
          </cell>
          <cell r="Y18">
            <v>28.2</v>
          </cell>
          <cell r="Z18">
            <v>3</v>
          </cell>
          <cell r="AG18">
            <v>99.7</v>
          </cell>
          <cell r="AH18">
            <v>7</v>
          </cell>
        </row>
        <row r="21">
          <cell r="I21">
            <v>0</v>
          </cell>
          <cell r="J21">
            <v>0</v>
          </cell>
          <cell r="Q21">
            <v>29.95</v>
          </cell>
          <cell r="R21">
            <v>2</v>
          </cell>
          <cell r="Y21">
            <v>40.75</v>
          </cell>
          <cell r="Z21">
            <v>4</v>
          </cell>
          <cell r="AG21">
            <v>89.9</v>
          </cell>
          <cell r="AH21">
            <v>6</v>
          </cell>
        </row>
        <row r="26">
          <cell r="I26">
            <v>0</v>
          </cell>
          <cell r="J26">
            <v>0</v>
          </cell>
          <cell r="Q26">
            <v>14.8</v>
          </cell>
          <cell r="R26">
            <v>1</v>
          </cell>
          <cell r="Y26">
            <v>78.45</v>
          </cell>
          <cell r="Z26">
            <v>3</v>
          </cell>
          <cell r="AG26">
            <v>158.94999999999999</v>
          </cell>
          <cell r="AH26">
            <v>4</v>
          </cell>
        </row>
        <row r="29">
          <cell r="I29">
            <v>0.2</v>
          </cell>
          <cell r="J29">
            <v>1</v>
          </cell>
          <cell r="Q29">
            <v>51</v>
          </cell>
          <cell r="R29">
            <v>2</v>
          </cell>
          <cell r="Y29">
            <v>44.6</v>
          </cell>
          <cell r="Z29">
            <v>4</v>
          </cell>
          <cell r="AG29">
            <v>125.19999999999999</v>
          </cell>
          <cell r="AH29">
            <v>8</v>
          </cell>
        </row>
        <row r="32">
          <cell r="I32">
            <v>0</v>
          </cell>
          <cell r="J32">
            <v>0</v>
          </cell>
          <cell r="Q32">
            <v>1.25</v>
          </cell>
          <cell r="R32">
            <v>1</v>
          </cell>
          <cell r="Y32">
            <v>105</v>
          </cell>
          <cell r="Z32">
            <v>4</v>
          </cell>
          <cell r="AG32">
            <v>157</v>
          </cell>
          <cell r="AH32">
            <v>7</v>
          </cell>
        </row>
        <row r="35">
          <cell r="I35">
            <v>9.65</v>
          </cell>
          <cell r="J35">
            <v>0.5</v>
          </cell>
          <cell r="Q35">
            <v>5.25</v>
          </cell>
          <cell r="R35">
            <v>0.5</v>
          </cell>
          <cell r="Y35">
            <v>119.15</v>
          </cell>
          <cell r="Z35">
            <v>3.5</v>
          </cell>
          <cell r="AG35">
            <v>174.7</v>
          </cell>
          <cell r="AH35">
            <v>7.5</v>
          </cell>
        </row>
        <row r="36">
          <cell r="I36">
            <v>1.2866666666666666</v>
          </cell>
          <cell r="J36">
            <v>6.6666666666666666E-2</v>
          </cell>
          <cell r="Q36">
            <v>10.213333333333333</v>
          </cell>
          <cell r="R36">
            <v>0.8</v>
          </cell>
          <cell r="Y36">
            <v>74.426666666666662</v>
          </cell>
          <cell r="Z36">
            <v>3.6</v>
          </cell>
          <cell r="AG36">
            <v>133.31333333333333</v>
          </cell>
          <cell r="AH36">
            <v>6.2666666666666666</v>
          </cell>
        </row>
        <row r="41">
          <cell r="I41">
            <v>0</v>
          </cell>
          <cell r="J41">
            <v>0</v>
          </cell>
          <cell r="Q41">
            <v>23.333333333333332</v>
          </cell>
          <cell r="R41">
            <v>1</v>
          </cell>
          <cell r="Y41">
            <v>47.333333333333329</v>
          </cell>
          <cell r="Z41">
            <v>5</v>
          </cell>
          <cell r="AG41">
            <v>178.83333333333331</v>
          </cell>
          <cell r="AH41">
            <v>6</v>
          </cell>
        </row>
        <row r="46">
          <cell r="I46">
            <v>0</v>
          </cell>
          <cell r="J46">
            <v>0</v>
          </cell>
          <cell r="Q46">
            <v>0</v>
          </cell>
          <cell r="R46">
            <v>0</v>
          </cell>
          <cell r="Y46">
            <v>15</v>
          </cell>
          <cell r="Z46">
            <v>2</v>
          </cell>
          <cell r="AG46">
            <v>98</v>
          </cell>
          <cell r="AH46">
            <v>4</v>
          </cell>
        </row>
        <row r="50">
          <cell r="I50">
            <v>3.5</v>
          </cell>
          <cell r="J50">
            <v>1</v>
          </cell>
          <cell r="Q50">
            <v>28.166666666666664</v>
          </cell>
          <cell r="R50">
            <v>3</v>
          </cell>
          <cell r="Y50">
            <v>101.66666666666666</v>
          </cell>
          <cell r="Z50">
            <v>9</v>
          </cell>
          <cell r="AG50">
            <v>79.5</v>
          </cell>
          <cell r="AH50">
            <v>7</v>
          </cell>
        </row>
        <row r="55">
          <cell r="I55">
            <v>3.75</v>
          </cell>
          <cell r="J55">
            <v>1</v>
          </cell>
          <cell r="Q55">
            <v>20</v>
          </cell>
          <cell r="R55">
            <v>2</v>
          </cell>
          <cell r="Y55">
            <v>63.666666666666671</v>
          </cell>
          <cell r="Z55">
            <v>5</v>
          </cell>
          <cell r="AG55">
            <v>171.66666666666666</v>
          </cell>
          <cell r="AH55">
            <v>7</v>
          </cell>
        </row>
        <row r="61">
          <cell r="I61">
            <v>6.18</v>
          </cell>
          <cell r="J61">
            <v>2</v>
          </cell>
          <cell r="Q61">
            <v>27.41</v>
          </cell>
          <cell r="R61">
            <v>3</v>
          </cell>
          <cell r="Y61">
            <v>51.099999999999994</v>
          </cell>
          <cell r="Z61">
            <v>5</v>
          </cell>
          <cell r="AG61">
            <v>113.575</v>
          </cell>
          <cell r="AH61">
            <v>7</v>
          </cell>
        </row>
        <row r="62">
          <cell r="I62">
            <v>3.5249999999999999</v>
          </cell>
          <cell r="J62">
            <v>2</v>
          </cell>
          <cell r="Q62">
            <v>22.938749999999999</v>
          </cell>
          <cell r="R62">
            <v>2</v>
          </cell>
          <cell r="Y62">
            <v>60.952380952380949</v>
          </cell>
          <cell r="Z62">
            <v>6</v>
          </cell>
          <cell r="AG62">
            <v>131.59285714285716</v>
          </cell>
          <cell r="AH62">
            <v>6</v>
          </cell>
        </row>
        <row r="63">
          <cell r="I63">
            <v>2.3718750000000002</v>
          </cell>
          <cell r="J63">
            <v>0.28125</v>
          </cell>
          <cell r="Q63">
            <v>17.478125000000002</v>
          </cell>
          <cell r="R63">
            <v>1.1875</v>
          </cell>
          <cell r="Y63">
            <v>63.7</v>
          </cell>
          <cell r="Z63">
            <v>3.8125</v>
          </cell>
          <cell r="AG63">
            <v>123.97500000000001</v>
          </cell>
          <cell r="AH63">
            <v>5.625</v>
          </cell>
        </row>
      </sheetData>
      <sheetData sheetId="3">
        <row r="15">
          <cell r="I15">
            <v>4.375</v>
          </cell>
          <cell r="J15">
            <v>2</v>
          </cell>
          <cell r="Q15">
            <v>42.987499999999997</v>
          </cell>
          <cell r="R15">
            <v>2</v>
          </cell>
          <cell r="Y15">
            <v>9.25</v>
          </cell>
          <cell r="Z15">
            <v>2</v>
          </cell>
          <cell r="AG15">
            <v>120.45</v>
          </cell>
          <cell r="AH15">
            <v>6</v>
          </cell>
        </row>
        <row r="22">
          <cell r="I22">
            <v>3.5</v>
          </cell>
          <cell r="J22">
            <v>1</v>
          </cell>
          <cell r="Q22">
            <v>58</v>
          </cell>
          <cell r="R22">
            <v>2</v>
          </cell>
          <cell r="Y22">
            <v>4.1666666666666661</v>
          </cell>
          <cell r="Z22">
            <v>2</v>
          </cell>
          <cell r="AG22">
            <v>97.083333333333343</v>
          </cell>
          <cell r="AH22">
            <v>5</v>
          </cell>
        </row>
        <row r="28">
          <cell r="I28">
            <v>4.2</v>
          </cell>
          <cell r="J28">
            <v>2</v>
          </cell>
          <cell r="Q28">
            <v>26.02</v>
          </cell>
          <cell r="R28">
            <v>2</v>
          </cell>
          <cell r="Y28">
            <v>1.32</v>
          </cell>
          <cell r="Z28">
            <v>2</v>
          </cell>
          <cell r="AG28">
            <v>119.502</v>
          </cell>
          <cell r="AH28">
            <v>7</v>
          </cell>
        </row>
        <row r="36">
          <cell r="I36">
            <v>0</v>
          </cell>
          <cell r="J36">
            <v>0</v>
          </cell>
          <cell r="Q36">
            <v>26.042857142857144</v>
          </cell>
          <cell r="R36">
            <v>2</v>
          </cell>
          <cell r="Y36">
            <v>2.3571428571428572</v>
          </cell>
          <cell r="Z36">
            <v>1</v>
          </cell>
          <cell r="AG36">
            <v>70.338571428571427</v>
          </cell>
          <cell r="AH36">
            <v>6</v>
          </cell>
        </row>
        <row r="41">
          <cell r="I41">
            <v>0</v>
          </cell>
          <cell r="J41">
            <v>0</v>
          </cell>
          <cell r="Q41">
            <v>30.25</v>
          </cell>
          <cell r="R41">
            <v>2</v>
          </cell>
          <cell r="Y41">
            <v>2.5</v>
          </cell>
          <cell r="Z41">
            <v>1</v>
          </cell>
          <cell r="AG41">
            <v>55.5</v>
          </cell>
          <cell r="AH41">
            <v>4</v>
          </cell>
        </row>
        <row r="47">
          <cell r="I47">
            <v>0</v>
          </cell>
          <cell r="J47">
            <v>0</v>
          </cell>
          <cell r="Q47">
            <v>84.8</v>
          </cell>
          <cell r="R47">
            <v>2</v>
          </cell>
          <cell r="Y47">
            <v>8</v>
          </cell>
          <cell r="Z47">
            <v>1</v>
          </cell>
          <cell r="AG47">
            <v>119.19999999999999</v>
          </cell>
          <cell r="AH47">
            <v>5</v>
          </cell>
        </row>
        <row r="48">
          <cell r="I48">
            <v>2.2000000000000002</v>
          </cell>
          <cell r="J48">
            <v>3</v>
          </cell>
          <cell r="Q48">
            <v>44.265714285714282</v>
          </cell>
          <cell r="R48">
            <v>2</v>
          </cell>
          <cell r="Y48">
            <v>4.9171428571428564</v>
          </cell>
          <cell r="Z48">
            <v>2</v>
          </cell>
          <cell r="AG48">
            <v>98.685142857142864</v>
          </cell>
          <cell r="AH48">
            <v>7</v>
          </cell>
        </row>
        <row r="52">
          <cell r="I52">
            <v>0.9</v>
          </cell>
          <cell r="J52">
            <v>1</v>
          </cell>
          <cell r="Q52">
            <v>24.2</v>
          </cell>
          <cell r="R52">
            <v>1</v>
          </cell>
          <cell r="Y52">
            <v>133.33333333333334</v>
          </cell>
          <cell r="Z52">
            <v>5</v>
          </cell>
          <cell r="AG52">
            <v>103.93333333333334</v>
          </cell>
          <cell r="AH52">
            <v>8</v>
          </cell>
        </row>
        <row r="56">
          <cell r="I56">
            <v>0</v>
          </cell>
          <cell r="J56">
            <v>0</v>
          </cell>
          <cell r="Q56">
            <v>1.5</v>
          </cell>
          <cell r="R56">
            <v>1</v>
          </cell>
          <cell r="Y56">
            <v>39.799999999999997</v>
          </cell>
          <cell r="Z56">
            <v>4</v>
          </cell>
          <cell r="AG56">
            <v>219.2</v>
          </cell>
          <cell r="AH56">
            <v>9</v>
          </cell>
        </row>
        <row r="60">
          <cell r="I60">
            <v>10.333333333333334</v>
          </cell>
          <cell r="J60">
            <v>1</v>
          </cell>
          <cell r="Q60">
            <v>0.5</v>
          </cell>
          <cell r="R60">
            <v>1</v>
          </cell>
          <cell r="Y60">
            <v>56.833333333333329</v>
          </cell>
          <cell r="Z60">
            <v>3</v>
          </cell>
          <cell r="AG60">
            <v>193.33333333333334</v>
          </cell>
          <cell r="AH60">
            <v>8</v>
          </cell>
        </row>
        <row r="64">
          <cell r="I64">
            <v>9.3666666666666671</v>
          </cell>
          <cell r="J64">
            <v>1</v>
          </cell>
          <cell r="Q64">
            <v>2.1733333333333333</v>
          </cell>
          <cell r="R64">
            <v>1</v>
          </cell>
          <cell r="Y64">
            <v>36.56333333333334</v>
          </cell>
          <cell r="Z64">
            <v>3</v>
          </cell>
          <cell r="AG64">
            <v>154.96666666666667</v>
          </cell>
          <cell r="AH64">
            <v>7</v>
          </cell>
        </row>
        <row r="68">
          <cell r="I68">
            <v>0.66666666666666663</v>
          </cell>
          <cell r="J68">
            <v>1</v>
          </cell>
          <cell r="Q68">
            <v>5</v>
          </cell>
          <cell r="R68">
            <v>2</v>
          </cell>
          <cell r="Y68">
            <v>48.833333333333336</v>
          </cell>
          <cell r="Z68">
            <v>4</v>
          </cell>
          <cell r="AG68">
            <v>164.53333333333336</v>
          </cell>
          <cell r="AH68">
            <v>8</v>
          </cell>
        </row>
        <row r="71">
          <cell r="I71">
            <v>0.7</v>
          </cell>
          <cell r="J71">
            <v>1</v>
          </cell>
          <cell r="Q71">
            <v>15.899999999999999</v>
          </cell>
          <cell r="R71">
            <v>1</v>
          </cell>
          <cell r="Y71">
            <v>66.349999999999994</v>
          </cell>
          <cell r="Z71">
            <v>5</v>
          </cell>
          <cell r="AG71">
            <v>123.55</v>
          </cell>
          <cell r="AH71">
            <v>7</v>
          </cell>
        </row>
        <row r="72">
          <cell r="I72">
            <v>0.61</v>
          </cell>
          <cell r="J72">
            <v>1</v>
          </cell>
          <cell r="Q72">
            <v>12.24</v>
          </cell>
          <cell r="R72">
            <v>2</v>
          </cell>
          <cell r="Y72">
            <v>75.88000000000001</v>
          </cell>
          <cell r="Z72">
            <v>5</v>
          </cell>
          <cell r="AG72">
            <v>149.08999999999997</v>
          </cell>
          <cell r="AH72">
            <v>9</v>
          </cell>
        </row>
        <row r="73">
          <cell r="I73">
            <v>1.8466666666666667</v>
          </cell>
          <cell r="J73">
            <v>3</v>
          </cell>
          <cell r="Q73">
            <v>37.148888888888884</v>
          </cell>
          <cell r="R73">
            <v>4</v>
          </cell>
          <cell r="Y73">
            <v>20.686666666666671</v>
          </cell>
          <cell r="Z73">
            <v>3</v>
          </cell>
          <cell r="AG73">
            <v>109.88622222222224</v>
          </cell>
          <cell r="AH73">
            <v>7</v>
          </cell>
        </row>
      </sheetData>
      <sheetData sheetId="4">
        <row r="10">
          <cell r="I10">
            <v>0</v>
          </cell>
          <cell r="J10">
            <v>0</v>
          </cell>
          <cell r="Q10">
            <v>11.666666666666668</v>
          </cell>
          <cell r="R10">
            <v>2</v>
          </cell>
          <cell r="Y10">
            <v>56</v>
          </cell>
          <cell r="Z10">
            <v>3</v>
          </cell>
          <cell r="AG10">
            <v>71</v>
          </cell>
          <cell r="AH10">
            <v>5</v>
          </cell>
        </row>
        <row r="14">
          <cell r="I14">
            <v>0</v>
          </cell>
          <cell r="J14">
            <v>0</v>
          </cell>
          <cell r="Q14">
            <v>0</v>
          </cell>
          <cell r="R14">
            <v>0</v>
          </cell>
          <cell r="Y14">
            <v>69.666666666666671</v>
          </cell>
          <cell r="Z14">
            <v>5</v>
          </cell>
          <cell r="AG14">
            <v>82.00333333333333</v>
          </cell>
          <cell r="AH14">
            <v>4</v>
          </cell>
        </row>
        <row r="18">
          <cell r="I18">
            <v>0</v>
          </cell>
          <cell r="J18">
            <v>0</v>
          </cell>
          <cell r="Q18">
            <v>0</v>
          </cell>
          <cell r="R18">
            <v>0</v>
          </cell>
          <cell r="Y18">
            <v>68.666666666666671</v>
          </cell>
          <cell r="Z18">
            <v>4</v>
          </cell>
          <cell r="AG18">
            <v>80.2</v>
          </cell>
          <cell r="AH18">
            <v>5</v>
          </cell>
        </row>
        <row r="22">
          <cell r="I22">
            <v>0</v>
          </cell>
          <cell r="J22">
            <v>0</v>
          </cell>
          <cell r="Q22">
            <v>0</v>
          </cell>
          <cell r="R22">
            <v>0</v>
          </cell>
          <cell r="Y22">
            <v>73.333333333333329</v>
          </cell>
          <cell r="Z22">
            <v>4</v>
          </cell>
          <cell r="AG22">
            <v>53.833333333333343</v>
          </cell>
          <cell r="AH22">
            <v>5</v>
          </cell>
        </row>
        <row r="28">
          <cell r="I28">
            <v>0</v>
          </cell>
          <cell r="J28">
            <v>0</v>
          </cell>
          <cell r="Q28">
            <v>8.16</v>
          </cell>
          <cell r="R28">
            <v>1</v>
          </cell>
          <cell r="Y28">
            <v>70.8</v>
          </cell>
          <cell r="Z28">
            <v>5</v>
          </cell>
          <cell r="AG28">
            <v>119.96</v>
          </cell>
          <cell r="AH28">
            <v>8</v>
          </cell>
        </row>
        <row r="33">
          <cell r="I33">
            <v>0</v>
          </cell>
          <cell r="J33">
            <v>0</v>
          </cell>
          <cell r="Q33">
            <v>0</v>
          </cell>
          <cell r="R33">
            <v>0</v>
          </cell>
          <cell r="Y33">
            <v>54.1</v>
          </cell>
          <cell r="Z33">
            <v>4</v>
          </cell>
          <cell r="AG33">
            <v>93.9</v>
          </cell>
          <cell r="AH33">
            <v>5</v>
          </cell>
        </row>
        <row r="38">
          <cell r="I38">
            <v>0</v>
          </cell>
          <cell r="J38">
            <v>0</v>
          </cell>
          <cell r="Q38">
            <v>0</v>
          </cell>
          <cell r="R38">
            <v>0</v>
          </cell>
          <cell r="Y38">
            <v>72.375</v>
          </cell>
          <cell r="Z38">
            <v>4</v>
          </cell>
          <cell r="AG38">
            <v>99.25</v>
          </cell>
          <cell r="AH38">
            <v>7</v>
          </cell>
        </row>
        <row r="42">
          <cell r="I42">
            <v>0</v>
          </cell>
          <cell r="J42">
            <v>0</v>
          </cell>
          <cell r="Q42">
            <v>0</v>
          </cell>
          <cell r="R42">
            <v>0</v>
          </cell>
          <cell r="Y42">
            <v>71.666666666666657</v>
          </cell>
          <cell r="Z42">
            <v>3</v>
          </cell>
          <cell r="AG42">
            <v>108.66666666666666</v>
          </cell>
          <cell r="AH42">
            <v>6</v>
          </cell>
        </row>
        <row r="47">
          <cell r="I47">
            <v>0</v>
          </cell>
          <cell r="J47">
            <v>0</v>
          </cell>
          <cell r="Q47">
            <v>4.75</v>
          </cell>
          <cell r="R47">
            <v>1</v>
          </cell>
          <cell r="Y47">
            <v>55.25</v>
          </cell>
          <cell r="Z47">
            <v>3</v>
          </cell>
          <cell r="AG47">
            <v>101.7</v>
          </cell>
          <cell r="AH47">
            <v>6</v>
          </cell>
        </row>
        <row r="48">
          <cell r="I48">
            <v>0</v>
          </cell>
          <cell r="J48">
            <v>0</v>
          </cell>
          <cell r="Q48">
            <v>3.3857142857142852</v>
          </cell>
          <cell r="R48">
            <v>2</v>
          </cell>
          <cell r="Y48">
            <v>64.710714285714289</v>
          </cell>
          <cell r="Z48">
            <v>5</v>
          </cell>
          <cell r="AG48">
            <v>91.046785714285704</v>
          </cell>
          <cell r="AH48">
            <v>6</v>
          </cell>
        </row>
        <row r="55">
          <cell r="I55">
            <v>0</v>
          </cell>
          <cell r="J55">
            <v>0</v>
          </cell>
          <cell r="Q55">
            <v>0.5</v>
          </cell>
          <cell r="R55">
            <v>1</v>
          </cell>
          <cell r="Y55">
            <v>28.416666666666668</v>
          </cell>
          <cell r="Z55">
            <v>2</v>
          </cell>
          <cell r="AG55">
            <v>102.18333333333334</v>
          </cell>
          <cell r="AH55">
            <v>5</v>
          </cell>
        </row>
        <row r="61">
          <cell r="I61">
            <v>0</v>
          </cell>
          <cell r="J61">
            <v>0</v>
          </cell>
          <cell r="Q61">
            <v>50.540000000000006</v>
          </cell>
          <cell r="R61">
            <v>2</v>
          </cell>
          <cell r="Y61">
            <v>38.1</v>
          </cell>
          <cell r="Z61">
            <v>3</v>
          </cell>
          <cell r="AG61">
            <v>86.66</v>
          </cell>
          <cell r="AH61">
            <v>7</v>
          </cell>
        </row>
        <row r="69">
          <cell r="I69">
            <v>0</v>
          </cell>
          <cell r="J69">
            <v>0</v>
          </cell>
          <cell r="Q69">
            <v>8.4285714285714288</v>
          </cell>
          <cell r="R69">
            <v>1</v>
          </cell>
          <cell r="Y69">
            <v>16.434285714285714</v>
          </cell>
          <cell r="Z69">
            <v>1</v>
          </cell>
          <cell r="AG69">
            <v>103.18142857142857</v>
          </cell>
          <cell r="AH69">
            <v>4</v>
          </cell>
        </row>
        <row r="75">
          <cell r="I75">
            <v>0</v>
          </cell>
          <cell r="J75">
            <v>0</v>
          </cell>
          <cell r="Q75">
            <v>14.6</v>
          </cell>
          <cell r="R75">
            <v>2</v>
          </cell>
          <cell r="Y75">
            <v>40</v>
          </cell>
          <cell r="Z75">
            <v>3</v>
          </cell>
          <cell r="AG75">
            <v>45</v>
          </cell>
          <cell r="AH75">
            <v>4</v>
          </cell>
        </row>
        <row r="81">
          <cell r="I81">
            <v>0</v>
          </cell>
          <cell r="J81">
            <v>0</v>
          </cell>
          <cell r="Q81">
            <v>10.8</v>
          </cell>
          <cell r="R81">
            <v>2</v>
          </cell>
          <cell r="Y81">
            <v>32.200000000000003</v>
          </cell>
          <cell r="Z81">
            <v>3</v>
          </cell>
          <cell r="AG81">
            <v>127.5</v>
          </cell>
          <cell r="AH81">
            <v>6</v>
          </cell>
        </row>
        <row r="86">
          <cell r="I86">
            <v>0</v>
          </cell>
          <cell r="J86">
            <v>0</v>
          </cell>
          <cell r="Q86">
            <v>14.75</v>
          </cell>
          <cell r="R86">
            <v>2</v>
          </cell>
          <cell r="Y86">
            <v>14.75</v>
          </cell>
          <cell r="Z86">
            <v>3</v>
          </cell>
          <cell r="AG86">
            <v>68.5</v>
          </cell>
          <cell r="AH86">
            <v>4</v>
          </cell>
        </row>
        <row r="87">
          <cell r="I87">
            <v>0</v>
          </cell>
          <cell r="J87">
            <v>0</v>
          </cell>
          <cell r="Q87">
            <v>15.646875000000001</v>
          </cell>
          <cell r="R87">
            <v>2</v>
          </cell>
          <cell r="Y87">
            <v>28.001249999999999</v>
          </cell>
          <cell r="Z87">
            <v>3</v>
          </cell>
          <cell r="AG87">
            <v>90.786562500000002</v>
          </cell>
          <cell r="AH87">
            <v>5</v>
          </cell>
        </row>
        <row r="88">
          <cell r="I88">
            <v>0</v>
          </cell>
          <cell r="J88">
            <v>0</v>
          </cell>
          <cell r="Q88">
            <v>10.267241379310345</v>
          </cell>
          <cell r="R88">
            <v>2</v>
          </cell>
          <cell r="Y88">
            <v>45.662758620689651</v>
          </cell>
          <cell r="Z88">
            <v>3</v>
          </cell>
          <cell r="AG88">
            <v>88.472068965517238</v>
          </cell>
          <cell r="AH88">
            <v>5</v>
          </cell>
        </row>
      </sheetData>
      <sheetData sheetId="5">
        <row r="8">
          <cell r="I8">
            <v>0</v>
          </cell>
          <cell r="J8">
            <v>0</v>
          </cell>
          <cell r="Q8">
            <v>0</v>
          </cell>
          <cell r="R8">
            <v>0</v>
          </cell>
          <cell r="Y8">
            <v>0</v>
          </cell>
          <cell r="Z8">
            <v>0</v>
          </cell>
          <cell r="AG8">
            <v>0</v>
          </cell>
          <cell r="AH8">
            <v>0</v>
          </cell>
        </row>
        <row r="11">
          <cell r="I11">
            <v>0</v>
          </cell>
          <cell r="J11">
            <v>0</v>
          </cell>
          <cell r="Q11">
            <v>0</v>
          </cell>
          <cell r="R11">
            <v>0</v>
          </cell>
          <cell r="Y11">
            <v>0</v>
          </cell>
          <cell r="Z11">
            <v>0</v>
          </cell>
          <cell r="AG11">
            <v>17.5</v>
          </cell>
          <cell r="AH11">
            <v>1</v>
          </cell>
        </row>
        <row r="14">
          <cell r="I14">
            <v>0</v>
          </cell>
          <cell r="J14">
            <v>0</v>
          </cell>
          <cell r="Q14">
            <v>0</v>
          </cell>
          <cell r="R14">
            <v>0</v>
          </cell>
          <cell r="Y14">
            <v>0</v>
          </cell>
          <cell r="Z14">
            <v>0</v>
          </cell>
          <cell r="AG14">
            <v>0</v>
          </cell>
          <cell r="AH14">
            <v>0</v>
          </cell>
        </row>
        <row r="19">
          <cell r="I19">
            <v>0</v>
          </cell>
          <cell r="J19">
            <v>0</v>
          </cell>
          <cell r="Q19">
            <v>0</v>
          </cell>
          <cell r="R19">
            <v>0</v>
          </cell>
          <cell r="Y19">
            <v>0</v>
          </cell>
          <cell r="Z19">
            <v>0</v>
          </cell>
          <cell r="AG19">
            <v>0</v>
          </cell>
          <cell r="AH19">
            <v>0</v>
          </cell>
        </row>
        <row r="22">
          <cell r="I22">
            <v>0</v>
          </cell>
          <cell r="J22">
            <v>0</v>
          </cell>
          <cell r="Q22">
            <v>0</v>
          </cell>
          <cell r="R22">
            <v>0</v>
          </cell>
          <cell r="Y22">
            <v>0</v>
          </cell>
          <cell r="Z22">
            <v>0</v>
          </cell>
          <cell r="AG22">
            <v>54.85</v>
          </cell>
          <cell r="AH22">
            <v>4</v>
          </cell>
        </row>
        <row r="24">
          <cell r="I24">
            <v>0</v>
          </cell>
          <cell r="J24">
            <v>0</v>
          </cell>
          <cell r="Q24">
            <v>0</v>
          </cell>
          <cell r="R24">
            <v>0</v>
          </cell>
          <cell r="Y24">
            <v>0</v>
          </cell>
          <cell r="Z24">
            <v>0</v>
          </cell>
          <cell r="AG24">
            <v>81</v>
          </cell>
          <cell r="AH24">
            <v>3</v>
          </cell>
        </row>
        <row r="26">
          <cell r="I26">
            <v>0</v>
          </cell>
          <cell r="J26">
            <v>0</v>
          </cell>
          <cell r="Q26">
            <v>0</v>
          </cell>
          <cell r="R26">
            <v>0</v>
          </cell>
          <cell r="Y26">
            <v>13</v>
          </cell>
          <cell r="Z26">
            <v>2</v>
          </cell>
          <cell r="AG26">
            <v>74</v>
          </cell>
          <cell r="AH26">
            <v>2</v>
          </cell>
        </row>
        <row r="28">
          <cell r="I28">
            <v>0</v>
          </cell>
          <cell r="J28">
            <v>0</v>
          </cell>
          <cell r="Q28">
            <v>0</v>
          </cell>
          <cell r="R28">
            <v>0</v>
          </cell>
          <cell r="Y28">
            <v>0</v>
          </cell>
          <cell r="Z28">
            <v>0</v>
          </cell>
          <cell r="AG28">
            <v>3</v>
          </cell>
          <cell r="AH28">
            <v>1</v>
          </cell>
        </row>
        <row r="30">
          <cell r="I30">
            <v>0</v>
          </cell>
          <cell r="J30">
            <v>0</v>
          </cell>
          <cell r="Q30">
            <v>3.9</v>
          </cell>
          <cell r="R30">
            <v>1</v>
          </cell>
          <cell r="Y30">
            <v>6</v>
          </cell>
          <cell r="Z30">
            <v>2</v>
          </cell>
          <cell r="AG30">
            <v>76.5</v>
          </cell>
          <cell r="AH30">
            <v>9</v>
          </cell>
        </row>
        <row r="31">
          <cell r="I31">
            <v>0</v>
          </cell>
          <cell r="J31">
            <v>0</v>
          </cell>
          <cell r="Q31">
            <v>0.26</v>
          </cell>
          <cell r="R31">
            <v>1</v>
          </cell>
          <cell r="Y31">
            <v>1.3123809523809524</v>
          </cell>
          <cell r="Z31">
            <v>3</v>
          </cell>
          <cell r="AG31">
            <v>25.28</v>
          </cell>
          <cell r="AH31">
            <v>3</v>
          </cell>
        </row>
        <row r="35">
          <cell r="I35">
            <v>0</v>
          </cell>
          <cell r="J35">
            <v>0</v>
          </cell>
          <cell r="Q35">
            <v>0</v>
          </cell>
          <cell r="R35">
            <v>0</v>
          </cell>
          <cell r="Y35">
            <v>18.600000000000001</v>
          </cell>
          <cell r="Z35">
            <v>3</v>
          </cell>
          <cell r="AG35">
            <v>30.200000000000003</v>
          </cell>
          <cell r="AH35">
            <v>3</v>
          </cell>
        </row>
        <row r="40">
          <cell r="I40">
            <v>0</v>
          </cell>
          <cell r="J40">
            <v>0</v>
          </cell>
          <cell r="Q40">
            <v>0</v>
          </cell>
          <cell r="R40">
            <v>0</v>
          </cell>
          <cell r="Y40">
            <v>2.75</v>
          </cell>
          <cell r="Z40">
            <v>1</v>
          </cell>
          <cell r="AG40">
            <v>27.142500000000002</v>
          </cell>
          <cell r="AH40">
            <v>3</v>
          </cell>
        </row>
        <row r="44">
          <cell r="I44">
            <v>0</v>
          </cell>
          <cell r="J44">
            <v>0</v>
          </cell>
          <cell r="Q44">
            <v>0</v>
          </cell>
          <cell r="R44">
            <v>0</v>
          </cell>
          <cell r="Y44">
            <v>0</v>
          </cell>
          <cell r="Z44">
            <v>0</v>
          </cell>
          <cell r="AG44">
            <v>28.633333333333333</v>
          </cell>
          <cell r="AH44">
            <v>8</v>
          </cell>
        </row>
        <row r="48">
          <cell r="I48">
            <v>0</v>
          </cell>
          <cell r="J48">
            <v>0</v>
          </cell>
          <cell r="Q48">
            <v>0</v>
          </cell>
          <cell r="R48">
            <v>0</v>
          </cell>
          <cell r="Y48">
            <v>5.5666666666666664</v>
          </cell>
          <cell r="Z48">
            <v>3</v>
          </cell>
          <cell r="AG48">
            <v>32.687651515151515</v>
          </cell>
          <cell r="AH48">
            <v>6</v>
          </cell>
        </row>
        <row r="49">
          <cell r="I49">
            <v>0</v>
          </cell>
          <cell r="J49">
            <v>0</v>
          </cell>
          <cell r="Q49">
            <v>0.14444444444444443</v>
          </cell>
          <cell r="R49">
            <v>1</v>
          </cell>
          <cell r="Y49">
            <v>3.2508547008547009</v>
          </cell>
          <cell r="Z49">
            <v>3</v>
          </cell>
          <cell r="AG49">
            <v>28.500883190883187</v>
          </cell>
          <cell r="AH49">
            <v>3</v>
          </cell>
        </row>
      </sheetData>
      <sheetData sheetId="6">
        <row r="12">
          <cell r="I12">
            <v>0</v>
          </cell>
          <cell r="J12">
            <v>0</v>
          </cell>
          <cell r="Q12">
            <v>0</v>
          </cell>
          <cell r="R12">
            <v>0</v>
          </cell>
          <cell r="Y12">
            <v>3.75</v>
          </cell>
          <cell r="Z12">
            <v>1</v>
          </cell>
          <cell r="AG12">
            <v>98.078000000000003</v>
          </cell>
          <cell r="AH12">
            <v>11</v>
          </cell>
        </row>
        <row r="18">
          <cell r="I18">
            <v>0</v>
          </cell>
          <cell r="J18">
            <v>0</v>
          </cell>
          <cell r="Q18">
            <v>0</v>
          </cell>
          <cell r="R18">
            <v>0</v>
          </cell>
          <cell r="Y18">
            <v>14.0175</v>
          </cell>
          <cell r="Z18">
            <v>1</v>
          </cell>
          <cell r="AG18">
            <v>159.85000000000002</v>
          </cell>
          <cell r="AH18">
            <v>10</v>
          </cell>
        </row>
        <row r="25">
          <cell r="I25">
            <v>0</v>
          </cell>
          <cell r="J25">
            <v>0</v>
          </cell>
          <cell r="Q25">
            <v>0</v>
          </cell>
          <cell r="R25">
            <v>0</v>
          </cell>
          <cell r="Y25">
            <v>6.25</v>
          </cell>
          <cell r="Z25">
            <v>1</v>
          </cell>
          <cell r="AG25">
            <v>160.83333333333331</v>
          </cell>
          <cell r="AH25">
            <v>11</v>
          </cell>
        </row>
        <row r="32">
          <cell r="I32">
            <v>0</v>
          </cell>
          <cell r="J32">
            <v>0</v>
          </cell>
          <cell r="Q32">
            <v>0</v>
          </cell>
          <cell r="R32">
            <v>0</v>
          </cell>
          <cell r="Y32">
            <v>16.684999999999999</v>
          </cell>
          <cell r="Z32">
            <v>2</v>
          </cell>
          <cell r="AG32">
            <v>161.44499999999999</v>
          </cell>
          <cell r="AH32">
            <v>10</v>
          </cell>
        </row>
        <row r="40">
          <cell r="I40">
            <v>0</v>
          </cell>
          <cell r="J40">
            <v>0</v>
          </cell>
          <cell r="Q40">
            <v>0</v>
          </cell>
          <cell r="R40">
            <v>0</v>
          </cell>
          <cell r="Y40">
            <v>10.841428571428573</v>
          </cell>
          <cell r="Z40">
            <v>2</v>
          </cell>
          <cell r="AG40">
            <v>173.66857142857143</v>
          </cell>
          <cell r="AH40">
            <v>12</v>
          </cell>
        </row>
        <row r="47">
          <cell r="I47">
            <v>0</v>
          </cell>
          <cell r="J47">
            <v>0</v>
          </cell>
          <cell r="Q47">
            <v>0</v>
          </cell>
          <cell r="R47">
            <v>0</v>
          </cell>
          <cell r="Y47">
            <v>2.5016666666666665</v>
          </cell>
          <cell r="Z47">
            <v>1</v>
          </cell>
          <cell r="AG47">
            <v>176.26999999999998</v>
          </cell>
          <cell r="AH47">
            <v>13</v>
          </cell>
        </row>
        <row r="53">
          <cell r="I53">
            <v>0</v>
          </cell>
          <cell r="J53">
            <v>0</v>
          </cell>
          <cell r="Q53">
            <v>0</v>
          </cell>
          <cell r="R53">
            <v>0</v>
          </cell>
          <cell r="Y53">
            <v>0</v>
          </cell>
          <cell r="Z53">
            <v>0</v>
          </cell>
          <cell r="AG53">
            <v>126.04999999999998</v>
          </cell>
          <cell r="AH53">
            <v>10</v>
          </cell>
        </row>
        <row r="62">
          <cell r="I62">
            <v>0</v>
          </cell>
          <cell r="J62">
            <v>0</v>
          </cell>
          <cell r="Q62">
            <v>0</v>
          </cell>
          <cell r="R62">
            <v>0</v>
          </cell>
          <cell r="Y62">
            <v>1.7212500000000002</v>
          </cell>
          <cell r="Z62">
            <v>1</v>
          </cell>
          <cell r="AG62">
            <v>151.89125000000001</v>
          </cell>
          <cell r="AH62">
            <v>11</v>
          </cell>
        </row>
        <row r="63">
          <cell r="I63">
            <v>0</v>
          </cell>
          <cell r="J63">
            <v>0</v>
          </cell>
          <cell r="Q63">
            <v>0</v>
          </cell>
          <cell r="R63">
            <v>0</v>
          </cell>
          <cell r="Y63">
            <v>6.8934782608695659</v>
          </cell>
          <cell r="Z63">
            <v>2</v>
          </cell>
          <cell r="AG63">
            <v>153.56586956521738</v>
          </cell>
          <cell r="AH63">
            <v>12</v>
          </cell>
        </row>
        <row r="74">
          <cell r="I74">
            <v>0</v>
          </cell>
          <cell r="J74">
            <v>0</v>
          </cell>
          <cell r="Q74">
            <v>0</v>
          </cell>
          <cell r="R74">
            <v>0</v>
          </cell>
          <cell r="Y74">
            <v>0</v>
          </cell>
          <cell r="Z74">
            <v>0</v>
          </cell>
          <cell r="AG74">
            <v>0</v>
          </cell>
          <cell r="AH74">
            <v>0</v>
          </cell>
        </row>
        <row r="87">
          <cell r="I87">
            <v>0</v>
          </cell>
          <cell r="J87">
            <v>0</v>
          </cell>
          <cell r="Q87">
            <v>0</v>
          </cell>
          <cell r="R87">
            <v>0</v>
          </cell>
          <cell r="Y87">
            <v>0</v>
          </cell>
          <cell r="Z87">
            <v>0</v>
          </cell>
          <cell r="AG87">
            <v>4.8166666666666664</v>
          </cell>
          <cell r="AH87">
            <v>1</v>
          </cell>
        </row>
        <row r="100">
          <cell r="I100">
            <v>0</v>
          </cell>
          <cell r="J100">
            <v>0</v>
          </cell>
          <cell r="Q100">
            <v>0</v>
          </cell>
          <cell r="R100">
            <v>0</v>
          </cell>
          <cell r="Y100">
            <v>0</v>
          </cell>
          <cell r="Z100">
            <v>0</v>
          </cell>
          <cell r="AG100">
            <v>2.127272727272727</v>
          </cell>
          <cell r="AH100">
            <v>3</v>
          </cell>
        </row>
        <row r="111">
          <cell r="I111">
            <v>0</v>
          </cell>
          <cell r="J111">
            <v>0</v>
          </cell>
          <cell r="Q111">
            <v>0</v>
          </cell>
          <cell r="R111">
            <v>0</v>
          </cell>
          <cell r="Y111">
            <v>0</v>
          </cell>
          <cell r="Z111">
            <v>0</v>
          </cell>
          <cell r="AG111">
            <v>3</v>
          </cell>
          <cell r="AH111">
            <v>1</v>
          </cell>
        </row>
        <row r="118">
          <cell r="I118">
            <v>0</v>
          </cell>
          <cell r="J118">
            <v>0</v>
          </cell>
          <cell r="Q118">
            <v>0</v>
          </cell>
          <cell r="R118">
            <v>0</v>
          </cell>
          <cell r="Y118">
            <v>0</v>
          </cell>
          <cell r="Z118">
            <v>0</v>
          </cell>
          <cell r="AG118">
            <v>0</v>
          </cell>
          <cell r="AH118">
            <v>0</v>
          </cell>
        </row>
        <row r="124">
          <cell r="I124">
            <v>0</v>
          </cell>
          <cell r="J124">
            <v>0</v>
          </cell>
          <cell r="Q124">
            <v>0</v>
          </cell>
          <cell r="R124">
            <v>0</v>
          </cell>
          <cell r="Y124">
            <v>0</v>
          </cell>
          <cell r="Z124">
            <v>0</v>
          </cell>
          <cell r="AG124">
            <v>0</v>
          </cell>
          <cell r="AH124">
            <v>0</v>
          </cell>
        </row>
        <row r="125">
          <cell r="I125">
            <v>0</v>
          </cell>
          <cell r="J125">
            <v>0</v>
          </cell>
          <cell r="Q125">
            <v>0</v>
          </cell>
          <cell r="R125">
            <v>0</v>
          </cell>
          <cell r="Y125">
            <v>0</v>
          </cell>
          <cell r="Z125">
            <v>0</v>
          </cell>
          <cell r="AG125">
            <v>1.9876811594202899</v>
          </cell>
          <cell r="AH125">
            <v>3</v>
          </cell>
        </row>
        <row r="126">
          <cell r="I126">
            <v>0</v>
          </cell>
          <cell r="J126">
            <v>0</v>
          </cell>
          <cell r="Q126">
            <v>0</v>
          </cell>
          <cell r="R126">
            <v>0</v>
          </cell>
          <cell r="Y126">
            <v>3.5233333333333334</v>
          </cell>
          <cell r="Z126">
            <v>2</v>
          </cell>
          <cell r="AG126">
            <v>81.690010101010103</v>
          </cell>
          <cell r="AH126">
            <v>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9C43-617F-4D4E-A2EF-FDE48EFBC7EC}">
  <dimension ref="A3:AB102"/>
  <sheetViews>
    <sheetView tabSelected="1" topLeftCell="A2" workbookViewId="0">
      <pane xSplit="2" ySplit="3" topLeftCell="K5" activePane="bottomRight" state="frozen"/>
      <selection activeCell="A2" sqref="A2"/>
      <selection pane="topRight" activeCell="C2" sqref="C2"/>
      <selection pane="bottomLeft" activeCell="A5" sqref="A5"/>
      <selection pane="bottomRight" activeCell="AA8" sqref="AA8"/>
    </sheetView>
  </sheetViews>
  <sheetFormatPr baseColWidth="10" defaultColWidth="11.453125" defaultRowHeight="14.5" x14ac:dyDescent="0.35"/>
  <cols>
    <col min="1" max="1" width="4.453125" style="6" customWidth="1"/>
    <col min="2" max="2" width="31.81640625" style="6" customWidth="1"/>
    <col min="3" max="7" width="5.7265625" style="6" customWidth="1"/>
    <col min="8" max="8" width="5.81640625" style="6" customWidth="1"/>
    <col min="9" max="14" width="5.7265625" style="6" customWidth="1"/>
    <col min="15" max="15" width="6.7265625" style="6" customWidth="1"/>
    <col min="16" max="26" width="5.7265625" style="6" customWidth="1"/>
    <col min="27" max="28" width="7.1796875" style="6" customWidth="1"/>
    <col min="29" max="256" width="11.453125" style="6"/>
    <col min="257" max="257" width="4.453125" style="6" customWidth="1"/>
    <col min="258" max="258" width="31.81640625" style="6" customWidth="1"/>
    <col min="259" max="263" width="5.7265625" style="6" customWidth="1"/>
    <col min="264" max="264" width="5.81640625" style="6" customWidth="1"/>
    <col min="265" max="270" width="5.7265625" style="6" customWidth="1"/>
    <col min="271" max="271" width="6.7265625" style="6" customWidth="1"/>
    <col min="272" max="282" width="5.7265625" style="6" customWidth="1"/>
    <col min="283" max="284" width="7.1796875" style="6" customWidth="1"/>
    <col min="285" max="512" width="11.453125" style="6"/>
    <col min="513" max="513" width="4.453125" style="6" customWidth="1"/>
    <col min="514" max="514" width="31.81640625" style="6" customWidth="1"/>
    <col min="515" max="519" width="5.7265625" style="6" customWidth="1"/>
    <col min="520" max="520" width="5.81640625" style="6" customWidth="1"/>
    <col min="521" max="526" width="5.7265625" style="6" customWidth="1"/>
    <col min="527" max="527" width="6.7265625" style="6" customWidth="1"/>
    <col min="528" max="538" width="5.7265625" style="6" customWidth="1"/>
    <col min="539" max="540" width="7.1796875" style="6" customWidth="1"/>
    <col min="541" max="768" width="11.453125" style="6"/>
    <col min="769" max="769" width="4.453125" style="6" customWidth="1"/>
    <col min="770" max="770" width="31.81640625" style="6" customWidth="1"/>
    <col min="771" max="775" width="5.7265625" style="6" customWidth="1"/>
    <col min="776" max="776" width="5.81640625" style="6" customWidth="1"/>
    <col min="777" max="782" width="5.7265625" style="6" customWidth="1"/>
    <col min="783" max="783" width="6.7265625" style="6" customWidth="1"/>
    <col min="784" max="794" width="5.7265625" style="6" customWidth="1"/>
    <col min="795" max="796" width="7.1796875" style="6" customWidth="1"/>
    <col min="797" max="1024" width="11.453125" style="6"/>
    <col min="1025" max="1025" width="4.453125" style="6" customWidth="1"/>
    <col min="1026" max="1026" width="31.81640625" style="6" customWidth="1"/>
    <col min="1027" max="1031" width="5.7265625" style="6" customWidth="1"/>
    <col min="1032" max="1032" width="5.81640625" style="6" customWidth="1"/>
    <col min="1033" max="1038" width="5.7265625" style="6" customWidth="1"/>
    <col min="1039" max="1039" width="6.7265625" style="6" customWidth="1"/>
    <col min="1040" max="1050" width="5.7265625" style="6" customWidth="1"/>
    <col min="1051" max="1052" width="7.1796875" style="6" customWidth="1"/>
    <col min="1053" max="1280" width="11.453125" style="6"/>
    <col min="1281" max="1281" width="4.453125" style="6" customWidth="1"/>
    <col min="1282" max="1282" width="31.81640625" style="6" customWidth="1"/>
    <col min="1283" max="1287" width="5.7265625" style="6" customWidth="1"/>
    <col min="1288" max="1288" width="5.81640625" style="6" customWidth="1"/>
    <col min="1289" max="1294" width="5.7265625" style="6" customWidth="1"/>
    <col min="1295" max="1295" width="6.7265625" style="6" customWidth="1"/>
    <col min="1296" max="1306" width="5.7265625" style="6" customWidth="1"/>
    <col min="1307" max="1308" width="7.1796875" style="6" customWidth="1"/>
    <col min="1309" max="1536" width="11.453125" style="6"/>
    <col min="1537" max="1537" width="4.453125" style="6" customWidth="1"/>
    <col min="1538" max="1538" width="31.81640625" style="6" customWidth="1"/>
    <col min="1539" max="1543" width="5.7265625" style="6" customWidth="1"/>
    <col min="1544" max="1544" width="5.81640625" style="6" customWidth="1"/>
    <col min="1545" max="1550" width="5.7265625" style="6" customWidth="1"/>
    <col min="1551" max="1551" width="6.7265625" style="6" customWidth="1"/>
    <col min="1552" max="1562" width="5.7265625" style="6" customWidth="1"/>
    <col min="1563" max="1564" width="7.1796875" style="6" customWidth="1"/>
    <col min="1565" max="1792" width="11.453125" style="6"/>
    <col min="1793" max="1793" width="4.453125" style="6" customWidth="1"/>
    <col min="1794" max="1794" width="31.81640625" style="6" customWidth="1"/>
    <col min="1795" max="1799" width="5.7265625" style="6" customWidth="1"/>
    <col min="1800" max="1800" width="5.81640625" style="6" customWidth="1"/>
    <col min="1801" max="1806" width="5.7265625" style="6" customWidth="1"/>
    <col min="1807" max="1807" width="6.7265625" style="6" customWidth="1"/>
    <col min="1808" max="1818" width="5.7265625" style="6" customWidth="1"/>
    <col min="1819" max="1820" width="7.1796875" style="6" customWidth="1"/>
    <col min="1821" max="2048" width="11.453125" style="6"/>
    <col min="2049" max="2049" width="4.453125" style="6" customWidth="1"/>
    <col min="2050" max="2050" width="31.81640625" style="6" customWidth="1"/>
    <col min="2051" max="2055" width="5.7265625" style="6" customWidth="1"/>
    <col min="2056" max="2056" width="5.81640625" style="6" customWidth="1"/>
    <col min="2057" max="2062" width="5.7265625" style="6" customWidth="1"/>
    <col min="2063" max="2063" width="6.7265625" style="6" customWidth="1"/>
    <col min="2064" max="2074" width="5.7265625" style="6" customWidth="1"/>
    <col min="2075" max="2076" width="7.1796875" style="6" customWidth="1"/>
    <col min="2077" max="2304" width="11.453125" style="6"/>
    <col min="2305" max="2305" width="4.453125" style="6" customWidth="1"/>
    <col min="2306" max="2306" width="31.81640625" style="6" customWidth="1"/>
    <col min="2307" max="2311" width="5.7265625" style="6" customWidth="1"/>
    <col min="2312" max="2312" width="5.81640625" style="6" customWidth="1"/>
    <col min="2313" max="2318" width="5.7265625" style="6" customWidth="1"/>
    <col min="2319" max="2319" width="6.7265625" style="6" customWidth="1"/>
    <col min="2320" max="2330" width="5.7265625" style="6" customWidth="1"/>
    <col min="2331" max="2332" width="7.1796875" style="6" customWidth="1"/>
    <col min="2333" max="2560" width="11.453125" style="6"/>
    <col min="2561" max="2561" width="4.453125" style="6" customWidth="1"/>
    <col min="2562" max="2562" width="31.81640625" style="6" customWidth="1"/>
    <col min="2563" max="2567" width="5.7265625" style="6" customWidth="1"/>
    <col min="2568" max="2568" width="5.81640625" style="6" customWidth="1"/>
    <col min="2569" max="2574" width="5.7265625" style="6" customWidth="1"/>
    <col min="2575" max="2575" width="6.7265625" style="6" customWidth="1"/>
    <col min="2576" max="2586" width="5.7265625" style="6" customWidth="1"/>
    <col min="2587" max="2588" width="7.1796875" style="6" customWidth="1"/>
    <col min="2589" max="2816" width="11.453125" style="6"/>
    <col min="2817" max="2817" width="4.453125" style="6" customWidth="1"/>
    <col min="2818" max="2818" width="31.81640625" style="6" customWidth="1"/>
    <col min="2819" max="2823" width="5.7265625" style="6" customWidth="1"/>
    <col min="2824" max="2824" width="5.81640625" style="6" customWidth="1"/>
    <col min="2825" max="2830" width="5.7265625" style="6" customWidth="1"/>
    <col min="2831" max="2831" width="6.7265625" style="6" customWidth="1"/>
    <col min="2832" max="2842" width="5.7265625" style="6" customWidth="1"/>
    <col min="2843" max="2844" width="7.1796875" style="6" customWidth="1"/>
    <col min="2845" max="3072" width="11.453125" style="6"/>
    <col min="3073" max="3073" width="4.453125" style="6" customWidth="1"/>
    <col min="3074" max="3074" width="31.81640625" style="6" customWidth="1"/>
    <col min="3075" max="3079" width="5.7265625" style="6" customWidth="1"/>
    <col min="3080" max="3080" width="5.81640625" style="6" customWidth="1"/>
    <col min="3081" max="3086" width="5.7265625" style="6" customWidth="1"/>
    <col min="3087" max="3087" width="6.7265625" style="6" customWidth="1"/>
    <col min="3088" max="3098" width="5.7265625" style="6" customWidth="1"/>
    <col min="3099" max="3100" width="7.1796875" style="6" customWidth="1"/>
    <col min="3101" max="3328" width="11.453125" style="6"/>
    <col min="3329" max="3329" width="4.453125" style="6" customWidth="1"/>
    <col min="3330" max="3330" width="31.81640625" style="6" customWidth="1"/>
    <col min="3331" max="3335" width="5.7265625" style="6" customWidth="1"/>
    <col min="3336" max="3336" width="5.81640625" style="6" customWidth="1"/>
    <col min="3337" max="3342" width="5.7265625" style="6" customWidth="1"/>
    <col min="3343" max="3343" width="6.7265625" style="6" customWidth="1"/>
    <col min="3344" max="3354" width="5.7265625" style="6" customWidth="1"/>
    <col min="3355" max="3356" width="7.1796875" style="6" customWidth="1"/>
    <col min="3357" max="3584" width="11.453125" style="6"/>
    <col min="3585" max="3585" width="4.453125" style="6" customWidth="1"/>
    <col min="3586" max="3586" width="31.81640625" style="6" customWidth="1"/>
    <col min="3587" max="3591" width="5.7265625" style="6" customWidth="1"/>
    <col min="3592" max="3592" width="5.81640625" style="6" customWidth="1"/>
    <col min="3593" max="3598" width="5.7265625" style="6" customWidth="1"/>
    <col min="3599" max="3599" width="6.7265625" style="6" customWidth="1"/>
    <col min="3600" max="3610" width="5.7265625" style="6" customWidth="1"/>
    <col min="3611" max="3612" width="7.1796875" style="6" customWidth="1"/>
    <col min="3613" max="3840" width="11.453125" style="6"/>
    <col min="3841" max="3841" width="4.453125" style="6" customWidth="1"/>
    <col min="3842" max="3842" width="31.81640625" style="6" customWidth="1"/>
    <col min="3843" max="3847" width="5.7265625" style="6" customWidth="1"/>
    <col min="3848" max="3848" width="5.81640625" style="6" customWidth="1"/>
    <col min="3849" max="3854" width="5.7265625" style="6" customWidth="1"/>
    <col min="3855" max="3855" width="6.7265625" style="6" customWidth="1"/>
    <col min="3856" max="3866" width="5.7265625" style="6" customWidth="1"/>
    <col min="3867" max="3868" width="7.1796875" style="6" customWidth="1"/>
    <col min="3869" max="4096" width="11.453125" style="6"/>
    <col min="4097" max="4097" width="4.453125" style="6" customWidth="1"/>
    <col min="4098" max="4098" width="31.81640625" style="6" customWidth="1"/>
    <col min="4099" max="4103" width="5.7265625" style="6" customWidth="1"/>
    <col min="4104" max="4104" width="5.81640625" style="6" customWidth="1"/>
    <col min="4105" max="4110" width="5.7265625" style="6" customWidth="1"/>
    <col min="4111" max="4111" width="6.7265625" style="6" customWidth="1"/>
    <col min="4112" max="4122" width="5.7265625" style="6" customWidth="1"/>
    <col min="4123" max="4124" width="7.1796875" style="6" customWidth="1"/>
    <col min="4125" max="4352" width="11.453125" style="6"/>
    <col min="4353" max="4353" width="4.453125" style="6" customWidth="1"/>
    <col min="4354" max="4354" width="31.81640625" style="6" customWidth="1"/>
    <col min="4355" max="4359" width="5.7265625" style="6" customWidth="1"/>
    <col min="4360" max="4360" width="5.81640625" style="6" customWidth="1"/>
    <col min="4361" max="4366" width="5.7265625" style="6" customWidth="1"/>
    <col min="4367" max="4367" width="6.7265625" style="6" customWidth="1"/>
    <col min="4368" max="4378" width="5.7265625" style="6" customWidth="1"/>
    <col min="4379" max="4380" width="7.1796875" style="6" customWidth="1"/>
    <col min="4381" max="4608" width="11.453125" style="6"/>
    <col min="4609" max="4609" width="4.453125" style="6" customWidth="1"/>
    <col min="4610" max="4610" width="31.81640625" style="6" customWidth="1"/>
    <col min="4611" max="4615" width="5.7265625" style="6" customWidth="1"/>
    <col min="4616" max="4616" width="5.81640625" style="6" customWidth="1"/>
    <col min="4617" max="4622" width="5.7265625" style="6" customWidth="1"/>
    <col min="4623" max="4623" width="6.7265625" style="6" customWidth="1"/>
    <col min="4624" max="4634" width="5.7265625" style="6" customWidth="1"/>
    <col min="4635" max="4636" width="7.1796875" style="6" customWidth="1"/>
    <col min="4637" max="4864" width="11.453125" style="6"/>
    <col min="4865" max="4865" width="4.453125" style="6" customWidth="1"/>
    <col min="4866" max="4866" width="31.81640625" style="6" customWidth="1"/>
    <col min="4867" max="4871" width="5.7265625" style="6" customWidth="1"/>
    <col min="4872" max="4872" width="5.81640625" style="6" customWidth="1"/>
    <col min="4873" max="4878" width="5.7265625" style="6" customWidth="1"/>
    <col min="4879" max="4879" width="6.7265625" style="6" customWidth="1"/>
    <col min="4880" max="4890" width="5.7265625" style="6" customWidth="1"/>
    <col min="4891" max="4892" width="7.1796875" style="6" customWidth="1"/>
    <col min="4893" max="5120" width="11.453125" style="6"/>
    <col min="5121" max="5121" width="4.453125" style="6" customWidth="1"/>
    <col min="5122" max="5122" width="31.81640625" style="6" customWidth="1"/>
    <col min="5123" max="5127" width="5.7265625" style="6" customWidth="1"/>
    <col min="5128" max="5128" width="5.81640625" style="6" customWidth="1"/>
    <col min="5129" max="5134" width="5.7265625" style="6" customWidth="1"/>
    <col min="5135" max="5135" width="6.7265625" style="6" customWidth="1"/>
    <col min="5136" max="5146" width="5.7265625" style="6" customWidth="1"/>
    <col min="5147" max="5148" width="7.1796875" style="6" customWidth="1"/>
    <col min="5149" max="5376" width="11.453125" style="6"/>
    <col min="5377" max="5377" width="4.453125" style="6" customWidth="1"/>
    <col min="5378" max="5378" width="31.81640625" style="6" customWidth="1"/>
    <col min="5379" max="5383" width="5.7265625" style="6" customWidth="1"/>
    <col min="5384" max="5384" width="5.81640625" style="6" customWidth="1"/>
    <col min="5385" max="5390" width="5.7265625" style="6" customWidth="1"/>
    <col min="5391" max="5391" width="6.7265625" style="6" customWidth="1"/>
    <col min="5392" max="5402" width="5.7265625" style="6" customWidth="1"/>
    <col min="5403" max="5404" width="7.1796875" style="6" customWidth="1"/>
    <col min="5405" max="5632" width="11.453125" style="6"/>
    <col min="5633" max="5633" width="4.453125" style="6" customWidth="1"/>
    <col min="5634" max="5634" width="31.81640625" style="6" customWidth="1"/>
    <col min="5635" max="5639" width="5.7265625" style="6" customWidth="1"/>
    <col min="5640" max="5640" width="5.81640625" style="6" customWidth="1"/>
    <col min="5641" max="5646" width="5.7265625" style="6" customWidth="1"/>
    <col min="5647" max="5647" width="6.7265625" style="6" customWidth="1"/>
    <col min="5648" max="5658" width="5.7265625" style="6" customWidth="1"/>
    <col min="5659" max="5660" width="7.1796875" style="6" customWidth="1"/>
    <col min="5661" max="5888" width="11.453125" style="6"/>
    <col min="5889" max="5889" width="4.453125" style="6" customWidth="1"/>
    <col min="5890" max="5890" width="31.81640625" style="6" customWidth="1"/>
    <col min="5891" max="5895" width="5.7265625" style="6" customWidth="1"/>
    <col min="5896" max="5896" width="5.81640625" style="6" customWidth="1"/>
    <col min="5897" max="5902" width="5.7265625" style="6" customWidth="1"/>
    <col min="5903" max="5903" width="6.7265625" style="6" customWidth="1"/>
    <col min="5904" max="5914" width="5.7265625" style="6" customWidth="1"/>
    <col min="5915" max="5916" width="7.1796875" style="6" customWidth="1"/>
    <col min="5917" max="6144" width="11.453125" style="6"/>
    <col min="6145" max="6145" width="4.453125" style="6" customWidth="1"/>
    <col min="6146" max="6146" width="31.81640625" style="6" customWidth="1"/>
    <col min="6147" max="6151" width="5.7265625" style="6" customWidth="1"/>
    <col min="6152" max="6152" width="5.81640625" style="6" customWidth="1"/>
    <col min="6153" max="6158" width="5.7265625" style="6" customWidth="1"/>
    <col min="6159" max="6159" width="6.7265625" style="6" customWidth="1"/>
    <col min="6160" max="6170" width="5.7265625" style="6" customWidth="1"/>
    <col min="6171" max="6172" width="7.1796875" style="6" customWidth="1"/>
    <col min="6173" max="6400" width="11.453125" style="6"/>
    <col min="6401" max="6401" width="4.453125" style="6" customWidth="1"/>
    <col min="6402" max="6402" width="31.81640625" style="6" customWidth="1"/>
    <col min="6403" max="6407" width="5.7265625" style="6" customWidth="1"/>
    <col min="6408" max="6408" width="5.81640625" style="6" customWidth="1"/>
    <col min="6409" max="6414" width="5.7265625" style="6" customWidth="1"/>
    <col min="6415" max="6415" width="6.7265625" style="6" customWidth="1"/>
    <col min="6416" max="6426" width="5.7265625" style="6" customWidth="1"/>
    <col min="6427" max="6428" width="7.1796875" style="6" customWidth="1"/>
    <col min="6429" max="6656" width="11.453125" style="6"/>
    <col min="6657" max="6657" width="4.453125" style="6" customWidth="1"/>
    <col min="6658" max="6658" width="31.81640625" style="6" customWidth="1"/>
    <col min="6659" max="6663" width="5.7265625" style="6" customWidth="1"/>
    <col min="6664" max="6664" width="5.81640625" style="6" customWidth="1"/>
    <col min="6665" max="6670" width="5.7265625" style="6" customWidth="1"/>
    <col min="6671" max="6671" width="6.7265625" style="6" customWidth="1"/>
    <col min="6672" max="6682" width="5.7265625" style="6" customWidth="1"/>
    <col min="6683" max="6684" width="7.1796875" style="6" customWidth="1"/>
    <col min="6685" max="6912" width="11.453125" style="6"/>
    <col min="6913" max="6913" width="4.453125" style="6" customWidth="1"/>
    <col min="6914" max="6914" width="31.81640625" style="6" customWidth="1"/>
    <col min="6915" max="6919" width="5.7265625" style="6" customWidth="1"/>
    <col min="6920" max="6920" width="5.81640625" style="6" customWidth="1"/>
    <col min="6921" max="6926" width="5.7265625" style="6" customWidth="1"/>
    <col min="6927" max="6927" width="6.7265625" style="6" customWidth="1"/>
    <col min="6928" max="6938" width="5.7265625" style="6" customWidth="1"/>
    <col min="6939" max="6940" width="7.1796875" style="6" customWidth="1"/>
    <col min="6941" max="7168" width="11.453125" style="6"/>
    <col min="7169" max="7169" width="4.453125" style="6" customWidth="1"/>
    <col min="7170" max="7170" width="31.81640625" style="6" customWidth="1"/>
    <col min="7171" max="7175" width="5.7265625" style="6" customWidth="1"/>
    <col min="7176" max="7176" width="5.81640625" style="6" customWidth="1"/>
    <col min="7177" max="7182" width="5.7265625" style="6" customWidth="1"/>
    <col min="7183" max="7183" width="6.7265625" style="6" customWidth="1"/>
    <col min="7184" max="7194" width="5.7265625" style="6" customWidth="1"/>
    <col min="7195" max="7196" width="7.1796875" style="6" customWidth="1"/>
    <col min="7197" max="7424" width="11.453125" style="6"/>
    <col min="7425" max="7425" width="4.453125" style="6" customWidth="1"/>
    <col min="7426" max="7426" width="31.81640625" style="6" customWidth="1"/>
    <col min="7427" max="7431" width="5.7265625" style="6" customWidth="1"/>
    <col min="7432" max="7432" width="5.81640625" style="6" customWidth="1"/>
    <col min="7433" max="7438" width="5.7265625" style="6" customWidth="1"/>
    <col min="7439" max="7439" width="6.7265625" style="6" customWidth="1"/>
    <col min="7440" max="7450" width="5.7265625" style="6" customWidth="1"/>
    <col min="7451" max="7452" width="7.1796875" style="6" customWidth="1"/>
    <col min="7453" max="7680" width="11.453125" style="6"/>
    <col min="7681" max="7681" width="4.453125" style="6" customWidth="1"/>
    <col min="7682" max="7682" width="31.81640625" style="6" customWidth="1"/>
    <col min="7683" max="7687" width="5.7265625" style="6" customWidth="1"/>
    <col min="7688" max="7688" width="5.81640625" style="6" customWidth="1"/>
    <col min="7689" max="7694" width="5.7265625" style="6" customWidth="1"/>
    <col min="7695" max="7695" width="6.7265625" style="6" customWidth="1"/>
    <col min="7696" max="7706" width="5.7265625" style="6" customWidth="1"/>
    <col min="7707" max="7708" width="7.1796875" style="6" customWidth="1"/>
    <col min="7709" max="7936" width="11.453125" style="6"/>
    <col min="7937" max="7937" width="4.453125" style="6" customWidth="1"/>
    <col min="7938" max="7938" width="31.81640625" style="6" customWidth="1"/>
    <col min="7939" max="7943" width="5.7265625" style="6" customWidth="1"/>
    <col min="7944" max="7944" width="5.81640625" style="6" customWidth="1"/>
    <col min="7945" max="7950" width="5.7265625" style="6" customWidth="1"/>
    <col min="7951" max="7951" width="6.7265625" style="6" customWidth="1"/>
    <col min="7952" max="7962" width="5.7265625" style="6" customWidth="1"/>
    <col min="7963" max="7964" width="7.1796875" style="6" customWidth="1"/>
    <col min="7965" max="8192" width="11.453125" style="6"/>
    <col min="8193" max="8193" width="4.453125" style="6" customWidth="1"/>
    <col min="8194" max="8194" width="31.81640625" style="6" customWidth="1"/>
    <col min="8195" max="8199" width="5.7265625" style="6" customWidth="1"/>
    <col min="8200" max="8200" width="5.81640625" style="6" customWidth="1"/>
    <col min="8201" max="8206" width="5.7265625" style="6" customWidth="1"/>
    <col min="8207" max="8207" width="6.7265625" style="6" customWidth="1"/>
    <col min="8208" max="8218" width="5.7265625" style="6" customWidth="1"/>
    <col min="8219" max="8220" width="7.1796875" style="6" customWidth="1"/>
    <col min="8221" max="8448" width="11.453125" style="6"/>
    <col min="8449" max="8449" width="4.453125" style="6" customWidth="1"/>
    <col min="8450" max="8450" width="31.81640625" style="6" customWidth="1"/>
    <col min="8451" max="8455" width="5.7265625" style="6" customWidth="1"/>
    <col min="8456" max="8456" width="5.81640625" style="6" customWidth="1"/>
    <col min="8457" max="8462" width="5.7265625" style="6" customWidth="1"/>
    <col min="8463" max="8463" width="6.7265625" style="6" customWidth="1"/>
    <col min="8464" max="8474" width="5.7265625" style="6" customWidth="1"/>
    <col min="8475" max="8476" width="7.1796875" style="6" customWidth="1"/>
    <col min="8477" max="8704" width="11.453125" style="6"/>
    <col min="8705" max="8705" width="4.453125" style="6" customWidth="1"/>
    <col min="8706" max="8706" width="31.81640625" style="6" customWidth="1"/>
    <col min="8707" max="8711" width="5.7265625" style="6" customWidth="1"/>
    <col min="8712" max="8712" width="5.81640625" style="6" customWidth="1"/>
    <col min="8713" max="8718" width="5.7265625" style="6" customWidth="1"/>
    <col min="8719" max="8719" width="6.7265625" style="6" customWidth="1"/>
    <col min="8720" max="8730" width="5.7265625" style="6" customWidth="1"/>
    <col min="8731" max="8732" width="7.1796875" style="6" customWidth="1"/>
    <col min="8733" max="8960" width="11.453125" style="6"/>
    <col min="8961" max="8961" width="4.453125" style="6" customWidth="1"/>
    <col min="8962" max="8962" width="31.81640625" style="6" customWidth="1"/>
    <col min="8963" max="8967" width="5.7265625" style="6" customWidth="1"/>
    <col min="8968" max="8968" width="5.81640625" style="6" customWidth="1"/>
    <col min="8969" max="8974" width="5.7265625" style="6" customWidth="1"/>
    <col min="8975" max="8975" width="6.7265625" style="6" customWidth="1"/>
    <col min="8976" max="8986" width="5.7265625" style="6" customWidth="1"/>
    <col min="8987" max="8988" width="7.1796875" style="6" customWidth="1"/>
    <col min="8989" max="9216" width="11.453125" style="6"/>
    <col min="9217" max="9217" width="4.453125" style="6" customWidth="1"/>
    <col min="9218" max="9218" width="31.81640625" style="6" customWidth="1"/>
    <col min="9219" max="9223" width="5.7265625" style="6" customWidth="1"/>
    <col min="9224" max="9224" width="5.81640625" style="6" customWidth="1"/>
    <col min="9225" max="9230" width="5.7265625" style="6" customWidth="1"/>
    <col min="9231" max="9231" width="6.7265625" style="6" customWidth="1"/>
    <col min="9232" max="9242" width="5.7265625" style="6" customWidth="1"/>
    <col min="9243" max="9244" width="7.1796875" style="6" customWidth="1"/>
    <col min="9245" max="9472" width="11.453125" style="6"/>
    <col min="9473" max="9473" width="4.453125" style="6" customWidth="1"/>
    <col min="9474" max="9474" width="31.81640625" style="6" customWidth="1"/>
    <col min="9475" max="9479" width="5.7265625" style="6" customWidth="1"/>
    <col min="9480" max="9480" width="5.81640625" style="6" customWidth="1"/>
    <col min="9481" max="9486" width="5.7265625" style="6" customWidth="1"/>
    <col min="9487" max="9487" width="6.7265625" style="6" customWidth="1"/>
    <col min="9488" max="9498" width="5.7265625" style="6" customWidth="1"/>
    <col min="9499" max="9500" width="7.1796875" style="6" customWidth="1"/>
    <col min="9501" max="9728" width="11.453125" style="6"/>
    <col min="9729" max="9729" width="4.453125" style="6" customWidth="1"/>
    <col min="9730" max="9730" width="31.81640625" style="6" customWidth="1"/>
    <col min="9731" max="9735" width="5.7265625" style="6" customWidth="1"/>
    <col min="9736" max="9736" width="5.81640625" style="6" customWidth="1"/>
    <col min="9737" max="9742" width="5.7265625" style="6" customWidth="1"/>
    <col min="9743" max="9743" width="6.7265625" style="6" customWidth="1"/>
    <col min="9744" max="9754" width="5.7265625" style="6" customWidth="1"/>
    <col min="9755" max="9756" width="7.1796875" style="6" customWidth="1"/>
    <col min="9757" max="9984" width="11.453125" style="6"/>
    <col min="9985" max="9985" width="4.453125" style="6" customWidth="1"/>
    <col min="9986" max="9986" width="31.81640625" style="6" customWidth="1"/>
    <col min="9987" max="9991" width="5.7265625" style="6" customWidth="1"/>
    <col min="9992" max="9992" width="5.81640625" style="6" customWidth="1"/>
    <col min="9993" max="9998" width="5.7265625" style="6" customWidth="1"/>
    <col min="9999" max="9999" width="6.7265625" style="6" customWidth="1"/>
    <col min="10000" max="10010" width="5.7265625" style="6" customWidth="1"/>
    <col min="10011" max="10012" width="7.1796875" style="6" customWidth="1"/>
    <col min="10013" max="10240" width="11.453125" style="6"/>
    <col min="10241" max="10241" width="4.453125" style="6" customWidth="1"/>
    <col min="10242" max="10242" width="31.81640625" style="6" customWidth="1"/>
    <col min="10243" max="10247" width="5.7265625" style="6" customWidth="1"/>
    <col min="10248" max="10248" width="5.81640625" style="6" customWidth="1"/>
    <col min="10249" max="10254" width="5.7265625" style="6" customWidth="1"/>
    <col min="10255" max="10255" width="6.7265625" style="6" customWidth="1"/>
    <col min="10256" max="10266" width="5.7265625" style="6" customWidth="1"/>
    <col min="10267" max="10268" width="7.1796875" style="6" customWidth="1"/>
    <col min="10269" max="10496" width="11.453125" style="6"/>
    <col min="10497" max="10497" width="4.453125" style="6" customWidth="1"/>
    <col min="10498" max="10498" width="31.81640625" style="6" customWidth="1"/>
    <col min="10499" max="10503" width="5.7265625" style="6" customWidth="1"/>
    <col min="10504" max="10504" width="5.81640625" style="6" customWidth="1"/>
    <col min="10505" max="10510" width="5.7265625" style="6" customWidth="1"/>
    <col min="10511" max="10511" width="6.7265625" style="6" customWidth="1"/>
    <col min="10512" max="10522" width="5.7265625" style="6" customWidth="1"/>
    <col min="10523" max="10524" width="7.1796875" style="6" customWidth="1"/>
    <col min="10525" max="10752" width="11.453125" style="6"/>
    <col min="10753" max="10753" width="4.453125" style="6" customWidth="1"/>
    <col min="10754" max="10754" width="31.81640625" style="6" customWidth="1"/>
    <col min="10755" max="10759" width="5.7265625" style="6" customWidth="1"/>
    <col min="10760" max="10760" width="5.81640625" style="6" customWidth="1"/>
    <col min="10761" max="10766" width="5.7265625" style="6" customWidth="1"/>
    <col min="10767" max="10767" width="6.7265625" style="6" customWidth="1"/>
    <col min="10768" max="10778" width="5.7265625" style="6" customWidth="1"/>
    <col min="10779" max="10780" width="7.1796875" style="6" customWidth="1"/>
    <col min="10781" max="11008" width="11.453125" style="6"/>
    <col min="11009" max="11009" width="4.453125" style="6" customWidth="1"/>
    <col min="11010" max="11010" width="31.81640625" style="6" customWidth="1"/>
    <col min="11011" max="11015" width="5.7265625" style="6" customWidth="1"/>
    <col min="11016" max="11016" width="5.81640625" style="6" customWidth="1"/>
    <col min="11017" max="11022" width="5.7265625" style="6" customWidth="1"/>
    <col min="11023" max="11023" width="6.7265625" style="6" customWidth="1"/>
    <col min="11024" max="11034" width="5.7265625" style="6" customWidth="1"/>
    <col min="11035" max="11036" width="7.1796875" style="6" customWidth="1"/>
    <col min="11037" max="11264" width="11.453125" style="6"/>
    <col min="11265" max="11265" width="4.453125" style="6" customWidth="1"/>
    <col min="11266" max="11266" width="31.81640625" style="6" customWidth="1"/>
    <col min="11267" max="11271" width="5.7265625" style="6" customWidth="1"/>
    <col min="11272" max="11272" width="5.81640625" style="6" customWidth="1"/>
    <col min="11273" max="11278" width="5.7265625" style="6" customWidth="1"/>
    <col min="11279" max="11279" width="6.7265625" style="6" customWidth="1"/>
    <col min="11280" max="11290" width="5.7265625" style="6" customWidth="1"/>
    <col min="11291" max="11292" width="7.1796875" style="6" customWidth="1"/>
    <col min="11293" max="11520" width="11.453125" style="6"/>
    <col min="11521" max="11521" width="4.453125" style="6" customWidth="1"/>
    <col min="11522" max="11522" width="31.81640625" style="6" customWidth="1"/>
    <col min="11523" max="11527" width="5.7265625" style="6" customWidth="1"/>
    <col min="11528" max="11528" width="5.81640625" style="6" customWidth="1"/>
    <col min="11529" max="11534" width="5.7265625" style="6" customWidth="1"/>
    <col min="11535" max="11535" width="6.7265625" style="6" customWidth="1"/>
    <col min="11536" max="11546" width="5.7265625" style="6" customWidth="1"/>
    <col min="11547" max="11548" width="7.1796875" style="6" customWidth="1"/>
    <col min="11549" max="11776" width="11.453125" style="6"/>
    <col min="11777" max="11777" width="4.453125" style="6" customWidth="1"/>
    <col min="11778" max="11778" width="31.81640625" style="6" customWidth="1"/>
    <col min="11779" max="11783" width="5.7265625" style="6" customWidth="1"/>
    <col min="11784" max="11784" width="5.81640625" style="6" customWidth="1"/>
    <col min="11785" max="11790" width="5.7265625" style="6" customWidth="1"/>
    <col min="11791" max="11791" width="6.7265625" style="6" customWidth="1"/>
    <col min="11792" max="11802" width="5.7265625" style="6" customWidth="1"/>
    <col min="11803" max="11804" width="7.1796875" style="6" customWidth="1"/>
    <col min="11805" max="12032" width="11.453125" style="6"/>
    <col min="12033" max="12033" width="4.453125" style="6" customWidth="1"/>
    <col min="12034" max="12034" width="31.81640625" style="6" customWidth="1"/>
    <col min="12035" max="12039" width="5.7265625" style="6" customWidth="1"/>
    <col min="12040" max="12040" width="5.81640625" style="6" customWidth="1"/>
    <col min="12041" max="12046" width="5.7265625" style="6" customWidth="1"/>
    <col min="12047" max="12047" width="6.7265625" style="6" customWidth="1"/>
    <col min="12048" max="12058" width="5.7265625" style="6" customWidth="1"/>
    <col min="12059" max="12060" width="7.1796875" style="6" customWidth="1"/>
    <col min="12061" max="12288" width="11.453125" style="6"/>
    <col min="12289" max="12289" width="4.453125" style="6" customWidth="1"/>
    <col min="12290" max="12290" width="31.81640625" style="6" customWidth="1"/>
    <col min="12291" max="12295" width="5.7265625" style="6" customWidth="1"/>
    <col min="12296" max="12296" width="5.81640625" style="6" customWidth="1"/>
    <col min="12297" max="12302" width="5.7265625" style="6" customWidth="1"/>
    <col min="12303" max="12303" width="6.7265625" style="6" customWidth="1"/>
    <col min="12304" max="12314" width="5.7265625" style="6" customWidth="1"/>
    <col min="12315" max="12316" width="7.1796875" style="6" customWidth="1"/>
    <col min="12317" max="12544" width="11.453125" style="6"/>
    <col min="12545" max="12545" width="4.453125" style="6" customWidth="1"/>
    <col min="12546" max="12546" width="31.81640625" style="6" customWidth="1"/>
    <col min="12547" max="12551" width="5.7265625" style="6" customWidth="1"/>
    <col min="12552" max="12552" width="5.81640625" style="6" customWidth="1"/>
    <col min="12553" max="12558" width="5.7265625" style="6" customWidth="1"/>
    <col min="12559" max="12559" width="6.7265625" style="6" customWidth="1"/>
    <col min="12560" max="12570" width="5.7265625" style="6" customWidth="1"/>
    <col min="12571" max="12572" width="7.1796875" style="6" customWidth="1"/>
    <col min="12573" max="12800" width="11.453125" style="6"/>
    <col min="12801" max="12801" width="4.453125" style="6" customWidth="1"/>
    <col min="12802" max="12802" width="31.81640625" style="6" customWidth="1"/>
    <col min="12803" max="12807" width="5.7265625" style="6" customWidth="1"/>
    <col min="12808" max="12808" width="5.81640625" style="6" customWidth="1"/>
    <col min="12809" max="12814" width="5.7265625" style="6" customWidth="1"/>
    <col min="12815" max="12815" width="6.7265625" style="6" customWidth="1"/>
    <col min="12816" max="12826" width="5.7265625" style="6" customWidth="1"/>
    <col min="12827" max="12828" width="7.1796875" style="6" customWidth="1"/>
    <col min="12829" max="13056" width="11.453125" style="6"/>
    <col min="13057" max="13057" width="4.453125" style="6" customWidth="1"/>
    <col min="13058" max="13058" width="31.81640625" style="6" customWidth="1"/>
    <col min="13059" max="13063" width="5.7265625" style="6" customWidth="1"/>
    <col min="13064" max="13064" width="5.81640625" style="6" customWidth="1"/>
    <col min="13065" max="13070" width="5.7265625" style="6" customWidth="1"/>
    <col min="13071" max="13071" width="6.7265625" style="6" customWidth="1"/>
    <col min="13072" max="13082" width="5.7265625" style="6" customWidth="1"/>
    <col min="13083" max="13084" width="7.1796875" style="6" customWidth="1"/>
    <col min="13085" max="13312" width="11.453125" style="6"/>
    <col min="13313" max="13313" width="4.453125" style="6" customWidth="1"/>
    <col min="13314" max="13314" width="31.81640625" style="6" customWidth="1"/>
    <col min="13315" max="13319" width="5.7265625" style="6" customWidth="1"/>
    <col min="13320" max="13320" width="5.81640625" style="6" customWidth="1"/>
    <col min="13321" max="13326" width="5.7265625" style="6" customWidth="1"/>
    <col min="13327" max="13327" width="6.7265625" style="6" customWidth="1"/>
    <col min="13328" max="13338" width="5.7265625" style="6" customWidth="1"/>
    <col min="13339" max="13340" width="7.1796875" style="6" customWidth="1"/>
    <col min="13341" max="13568" width="11.453125" style="6"/>
    <col min="13569" max="13569" width="4.453125" style="6" customWidth="1"/>
    <col min="13570" max="13570" width="31.81640625" style="6" customWidth="1"/>
    <col min="13571" max="13575" width="5.7265625" style="6" customWidth="1"/>
    <col min="13576" max="13576" width="5.81640625" style="6" customWidth="1"/>
    <col min="13577" max="13582" width="5.7265625" style="6" customWidth="1"/>
    <col min="13583" max="13583" width="6.7265625" style="6" customWidth="1"/>
    <col min="13584" max="13594" width="5.7265625" style="6" customWidth="1"/>
    <col min="13595" max="13596" width="7.1796875" style="6" customWidth="1"/>
    <col min="13597" max="13824" width="11.453125" style="6"/>
    <col min="13825" max="13825" width="4.453125" style="6" customWidth="1"/>
    <col min="13826" max="13826" width="31.81640625" style="6" customWidth="1"/>
    <col min="13827" max="13831" width="5.7265625" style="6" customWidth="1"/>
    <col min="13832" max="13832" width="5.81640625" style="6" customWidth="1"/>
    <col min="13833" max="13838" width="5.7265625" style="6" customWidth="1"/>
    <col min="13839" max="13839" width="6.7265625" style="6" customWidth="1"/>
    <col min="13840" max="13850" width="5.7265625" style="6" customWidth="1"/>
    <col min="13851" max="13852" width="7.1796875" style="6" customWidth="1"/>
    <col min="13853" max="14080" width="11.453125" style="6"/>
    <col min="14081" max="14081" width="4.453125" style="6" customWidth="1"/>
    <col min="14082" max="14082" width="31.81640625" style="6" customWidth="1"/>
    <col min="14083" max="14087" width="5.7265625" style="6" customWidth="1"/>
    <col min="14088" max="14088" width="5.81640625" style="6" customWidth="1"/>
    <col min="14089" max="14094" width="5.7265625" style="6" customWidth="1"/>
    <col min="14095" max="14095" width="6.7265625" style="6" customWidth="1"/>
    <col min="14096" max="14106" width="5.7265625" style="6" customWidth="1"/>
    <col min="14107" max="14108" width="7.1796875" style="6" customWidth="1"/>
    <col min="14109" max="14336" width="11.453125" style="6"/>
    <col min="14337" max="14337" width="4.453125" style="6" customWidth="1"/>
    <col min="14338" max="14338" width="31.81640625" style="6" customWidth="1"/>
    <col min="14339" max="14343" width="5.7265625" style="6" customWidth="1"/>
    <col min="14344" max="14344" width="5.81640625" style="6" customWidth="1"/>
    <col min="14345" max="14350" width="5.7265625" style="6" customWidth="1"/>
    <col min="14351" max="14351" width="6.7265625" style="6" customWidth="1"/>
    <col min="14352" max="14362" width="5.7265625" style="6" customWidth="1"/>
    <col min="14363" max="14364" width="7.1796875" style="6" customWidth="1"/>
    <col min="14365" max="14592" width="11.453125" style="6"/>
    <col min="14593" max="14593" width="4.453125" style="6" customWidth="1"/>
    <col min="14594" max="14594" width="31.81640625" style="6" customWidth="1"/>
    <col min="14595" max="14599" width="5.7265625" style="6" customWidth="1"/>
    <col min="14600" max="14600" width="5.81640625" style="6" customWidth="1"/>
    <col min="14601" max="14606" width="5.7265625" style="6" customWidth="1"/>
    <col min="14607" max="14607" width="6.7265625" style="6" customWidth="1"/>
    <col min="14608" max="14618" width="5.7265625" style="6" customWidth="1"/>
    <col min="14619" max="14620" width="7.1796875" style="6" customWidth="1"/>
    <col min="14621" max="14848" width="11.453125" style="6"/>
    <col min="14849" max="14849" width="4.453125" style="6" customWidth="1"/>
    <col min="14850" max="14850" width="31.81640625" style="6" customWidth="1"/>
    <col min="14851" max="14855" width="5.7265625" style="6" customWidth="1"/>
    <col min="14856" max="14856" width="5.81640625" style="6" customWidth="1"/>
    <col min="14857" max="14862" width="5.7265625" style="6" customWidth="1"/>
    <col min="14863" max="14863" width="6.7265625" style="6" customWidth="1"/>
    <col min="14864" max="14874" width="5.7265625" style="6" customWidth="1"/>
    <col min="14875" max="14876" width="7.1796875" style="6" customWidth="1"/>
    <col min="14877" max="15104" width="11.453125" style="6"/>
    <col min="15105" max="15105" width="4.453125" style="6" customWidth="1"/>
    <col min="15106" max="15106" width="31.81640625" style="6" customWidth="1"/>
    <col min="15107" max="15111" width="5.7265625" style="6" customWidth="1"/>
    <col min="15112" max="15112" width="5.81640625" style="6" customWidth="1"/>
    <col min="15113" max="15118" width="5.7265625" style="6" customWidth="1"/>
    <col min="15119" max="15119" width="6.7265625" style="6" customWidth="1"/>
    <col min="15120" max="15130" width="5.7265625" style="6" customWidth="1"/>
    <col min="15131" max="15132" width="7.1796875" style="6" customWidth="1"/>
    <col min="15133" max="15360" width="11.453125" style="6"/>
    <col min="15361" max="15361" width="4.453125" style="6" customWidth="1"/>
    <col min="15362" max="15362" width="31.81640625" style="6" customWidth="1"/>
    <col min="15363" max="15367" width="5.7265625" style="6" customWidth="1"/>
    <col min="15368" max="15368" width="5.81640625" style="6" customWidth="1"/>
    <col min="15369" max="15374" width="5.7265625" style="6" customWidth="1"/>
    <col min="15375" max="15375" width="6.7265625" style="6" customWidth="1"/>
    <col min="15376" max="15386" width="5.7265625" style="6" customWidth="1"/>
    <col min="15387" max="15388" width="7.1796875" style="6" customWidth="1"/>
    <col min="15389" max="15616" width="11.453125" style="6"/>
    <col min="15617" max="15617" width="4.453125" style="6" customWidth="1"/>
    <col min="15618" max="15618" width="31.81640625" style="6" customWidth="1"/>
    <col min="15619" max="15623" width="5.7265625" style="6" customWidth="1"/>
    <col min="15624" max="15624" width="5.81640625" style="6" customWidth="1"/>
    <col min="15625" max="15630" width="5.7265625" style="6" customWidth="1"/>
    <col min="15631" max="15631" width="6.7265625" style="6" customWidth="1"/>
    <col min="15632" max="15642" width="5.7265625" style="6" customWidth="1"/>
    <col min="15643" max="15644" width="7.1796875" style="6" customWidth="1"/>
    <col min="15645" max="15872" width="11.453125" style="6"/>
    <col min="15873" max="15873" width="4.453125" style="6" customWidth="1"/>
    <col min="15874" max="15874" width="31.81640625" style="6" customWidth="1"/>
    <col min="15875" max="15879" width="5.7265625" style="6" customWidth="1"/>
    <col min="15880" max="15880" width="5.81640625" style="6" customWidth="1"/>
    <col min="15881" max="15886" width="5.7265625" style="6" customWidth="1"/>
    <col min="15887" max="15887" width="6.7265625" style="6" customWidth="1"/>
    <col min="15888" max="15898" width="5.7265625" style="6" customWidth="1"/>
    <col min="15899" max="15900" width="7.1796875" style="6" customWidth="1"/>
    <col min="15901" max="16128" width="11.453125" style="6"/>
    <col min="16129" max="16129" width="4.453125" style="6" customWidth="1"/>
    <col min="16130" max="16130" width="31.81640625" style="6" customWidth="1"/>
    <col min="16131" max="16135" width="5.7265625" style="6" customWidth="1"/>
    <col min="16136" max="16136" width="5.81640625" style="6" customWidth="1"/>
    <col min="16137" max="16142" width="5.7265625" style="6" customWidth="1"/>
    <col min="16143" max="16143" width="6.7265625" style="6" customWidth="1"/>
    <col min="16144" max="16154" width="5.7265625" style="6" customWidth="1"/>
    <col min="16155" max="16156" width="7.1796875" style="6" customWidth="1"/>
    <col min="16157" max="16384" width="11.453125" style="6"/>
  </cols>
  <sheetData>
    <row r="3" spans="1:28" ht="25.5" customHeight="1" x14ac:dyDescent="0.35">
      <c r="A3" s="1" t="s">
        <v>0</v>
      </c>
      <c r="B3" s="1" t="s">
        <v>1</v>
      </c>
      <c r="C3" s="2" t="s">
        <v>2</v>
      </c>
      <c r="D3" s="3"/>
      <c r="E3" s="4" t="s">
        <v>3</v>
      </c>
      <c r="F3" s="5"/>
      <c r="G3" s="4" t="s">
        <v>4</v>
      </c>
      <c r="H3" s="5"/>
      <c r="I3" s="4" t="s">
        <v>5</v>
      </c>
      <c r="J3" s="5"/>
      <c r="K3" s="4" t="s">
        <v>6</v>
      </c>
      <c r="L3" s="5"/>
      <c r="M3" s="4" t="s">
        <v>7</v>
      </c>
      <c r="N3" s="5"/>
      <c r="O3" s="4" t="s">
        <v>8</v>
      </c>
      <c r="P3" s="5"/>
      <c r="Q3" s="4" t="s">
        <v>9</v>
      </c>
      <c r="R3" s="5"/>
      <c r="S3" s="4" t="s">
        <v>10</v>
      </c>
      <c r="T3" s="5"/>
      <c r="U3" s="4" t="s">
        <v>11</v>
      </c>
      <c r="V3" s="5"/>
      <c r="W3" s="4" t="s">
        <v>12</v>
      </c>
      <c r="X3" s="5"/>
      <c r="Y3" s="4" t="s">
        <v>13</v>
      </c>
      <c r="Z3" s="5"/>
      <c r="AA3" s="4" t="s">
        <v>14</v>
      </c>
      <c r="AB3" s="5"/>
    </row>
    <row r="4" spans="1:28" ht="25.5" customHeight="1" x14ac:dyDescent="0.35">
      <c r="A4" s="7"/>
      <c r="B4" s="7"/>
      <c r="C4" s="8" t="s">
        <v>15</v>
      </c>
      <c r="D4" s="9" t="s">
        <v>16</v>
      </c>
      <c r="E4" s="8" t="s">
        <v>15</v>
      </c>
      <c r="F4" s="9" t="s">
        <v>16</v>
      </c>
      <c r="G4" s="8" t="s">
        <v>15</v>
      </c>
      <c r="H4" s="9" t="s">
        <v>16</v>
      </c>
      <c r="I4" s="8" t="s">
        <v>15</v>
      </c>
      <c r="J4" s="9" t="s">
        <v>16</v>
      </c>
      <c r="K4" s="8" t="s">
        <v>15</v>
      </c>
      <c r="L4" s="9" t="s">
        <v>16</v>
      </c>
      <c r="M4" s="8" t="s">
        <v>15</v>
      </c>
      <c r="N4" s="9" t="s">
        <v>16</v>
      </c>
      <c r="O4" s="8" t="s">
        <v>15</v>
      </c>
      <c r="P4" s="9" t="s">
        <v>16</v>
      </c>
      <c r="Q4" s="8" t="s">
        <v>15</v>
      </c>
      <c r="R4" s="9" t="s">
        <v>16</v>
      </c>
      <c r="S4" s="8" t="s">
        <v>15</v>
      </c>
      <c r="T4" s="9" t="s">
        <v>16</v>
      </c>
      <c r="U4" s="8" t="s">
        <v>15</v>
      </c>
      <c r="V4" s="9" t="s">
        <v>16</v>
      </c>
      <c r="W4" s="8" t="s">
        <v>15</v>
      </c>
      <c r="X4" s="9" t="s">
        <v>16</v>
      </c>
      <c r="Y4" s="8" t="s">
        <v>15</v>
      </c>
      <c r="Z4" s="9" t="s">
        <v>16</v>
      </c>
      <c r="AA4" s="8" t="s">
        <v>15</v>
      </c>
      <c r="AB4" s="9" t="s">
        <v>16</v>
      </c>
    </row>
    <row r="5" spans="1:28" x14ac:dyDescent="0.35">
      <c r="A5" s="10">
        <v>1</v>
      </c>
      <c r="B5" s="11" t="s">
        <v>17</v>
      </c>
      <c r="C5" s="12">
        <f>+'[1]BORG-ALIB'!I62</f>
        <v>0</v>
      </c>
      <c r="D5" s="13">
        <f>+'[1]BORG-ALIB'!J62</f>
        <v>0</v>
      </c>
      <c r="E5" s="12">
        <f>+'[1]BORG-ALIB'!Q62</f>
        <v>0</v>
      </c>
      <c r="F5" s="12">
        <f>+'[1]BORG-ALIB'!R62</f>
        <v>0</v>
      </c>
      <c r="G5" s="12">
        <f>+'[1]BORG-ALIB'!Y62</f>
        <v>1.7212500000000002</v>
      </c>
      <c r="H5" s="12">
        <f>+'[1]BORG-ALIB'!Z62</f>
        <v>1</v>
      </c>
      <c r="I5" s="12">
        <f>+'[1]BORG-ALIB'!AG62</f>
        <v>151.89125000000001</v>
      </c>
      <c r="J5" s="13">
        <f>+'[1]BORG-ALIB'!AH62</f>
        <v>11</v>
      </c>
      <c r="K5" s="12">
        <v>262.59375</v>
      </c>
      <c r="L5" s="13">
        <v>8</v>
      </c>
      <c r="M5" s="12">
        <v>102.9375</v>
      </c>
      <c r="N5" s="13">
        <v>7</v>
      </c>
      <c r="O5" s="12">
        <v>197.64999999999998</v>
      </c>
      <c r="P5" s="13">
        <v>10</v>
      </c>
      <c r="Q5" s="12">
        <v>167.9375</v>
      </c>
      <c r="R5" s="13">
        <v>9</v>
      </c>
      <c r="S5" s="12">
        <v>218</v>
      </c>
      <c r="T5" s="13">
        <v>11</v>
      </c>
      <c r="U5" s="12">
        <v>99.75</v>
      </c>
      <c r="V5" s="13">
        <v>8</v>
      </c>
      <c r="W5" s="12">
        <v>0</v>
      </c>
      <c r="X5" s="13">
        <v>0</v>
      </c>
      <c r="Y5" s="12">
        <v>0</v>
      </c>
      <c r="Z5" s="13">
        <v>0</v>
      </c>
      <c r="AA5" s="14">
        <v>1202.4812499999998</v>
      </c>
      <c r="AB5" s="15">
        <v>65</v>
      </c>
    </row>
    <row r="6" spans="1:28" x14ac:dyDescent="0.35">
      <c r="A6" s="10">
        <v>2</v>
      </c>
      <c r="B6" s="11" t="s">
        <v>18</v>
      </c>
      <c r="C6" s="12">
        <f>+'[1]BORG-ALIB'!I47</f>
        <v>0</v>
      </c>
      <c r="D6" s="13">
        <f>+'[1]BORG-ALIB'!J47</f>
        <v>0</v>
      </c>
      <c r="E6" s="12">
        <f>+'[1]BORG-ALIB'!Q47</f>
        <v>0</v>
      </c>
      <c r="F6" s="12">
        <f>+'[1]BORG-ALIB'!R47</f>
        <v>0</v>
      </c>
      <c r="G6" s="12">
        <f>+'[1]BORG-ALIB'!Y47</f>
        <v>2.5016666666666665</v>
      </c>
      <c r="H6" s="12">
        <f>+'[1]BORG-ALIB'!Z47</f>
        <v>1</v>
      </c>
      <c r="I6" s="12">
        <f>+'[1]BORG-ALIB'!AG47</f>
        <v>176.26999999999998</v>
      </c>
      <c r="J6" s="13">
        <f>+'[1]BORG-ALIB'!AH47</f>
        <v>13</v>
      </c>
      <c r="K6" s="12">
        <v>91.949999999999989</v>
      </c>
      <c r="L6" s="13">
        <v>6</v>
      </c>
      <c r="M6" s="12">
        <v>121.7</v>
      </c>
      <c r="N6" s="13">
        <v>9</v>
      </c>
      <c r="O6" s="12">
        <v>230.2</v>
      </c>
      <c r="P6" s="13">
        <v>13</v>
      </c>
      <c r="Q6" s="12">
        <v>169.33333333333334</v>
      </c>
      <c r="R6" s="13">
        <v>9</v>
      </c>
      <c r="S6" s="12">
        <v>349.18333333333328</v>
      </c>
      <c r="T6" s="13">
        <v>12</v>
      </c>
      <c r="U6" s="12">
        <v>105.83333333333334</v>
      </c>
      <c r="V6" s="13">
        <v>9</v>
      </c>
      <c r="W6" s="12">
        <v>0</v>
      </c>
      <c r="X6" s="13">
        <v>0</v>
      </c>
      <c r="Y6" s="12">
        <v>0</v>
      </c>
      <c r="Z6" s="13">
        <v>0</v>
      </c>
      <c r="AA6" s="14">
        <v>1246.9716666666666</v>
      </c>
      <c r="AB6" s="15">
        <v>72</v>
      </c>
    </row>
    <row r="7" spans="1:28" ht="16.5" customHeight="1" x14ac:dyDescent="0.35">
      <c r="A7" s="10">
        <v>3</v>
      </c>
      <c r="B7" s="11" t="s">
        <v>19</v>
      </c>
      <c r="C7" s="12">
        <f>+'[1]BORG-ALIB'!I25</f>
        <v>0</v>
      </c>
      <c r="D7" s="13">
        <f>+'[1]BORG-ALIB'!J25</f>
        <v>0</v>
      </c>
      <c r="E7" s="12">
        <f>+'[1]BORG-ALIB'!Q25</f>
        <v>0</v>
      </c>
      <c r="F7" s="12">
        <f>+'[1]BORG-ALIB'!R25</f>
        <v>0</v>
      </c>
      <c r="G7" s="12">
        <f>+'[1]BORG-ALIB'!Y25</f>
        <v>6.25</v>
      </c>
      <c r="H7" s="12">
        <f>+'[1]BORG-ALIB'!Z25</f>
        <v>1</v>
      </c>
      <c r="I7" s="12">
        <f>+'[1]BORG-ALIB'!AG25</f>
        <v>160.83333333333331</v>
      </c>
      <c r="J7" s="13">
        <f>+'[1]BORG-ALIB'!AH25</f>
        <v>11</v>
      </c>
      <c r="K7" s="12">
        <v>88.95</v>
      </c>
      <c r="L7" s="13">
        <v>7</v>
      </c>
      <c r="M7" s="12">
        <v>65.666666666666657</v>
      </c>
      <c r="N7" s="13">
        <v>5</v>
      </c>
      <c r="O7" s="12">
        <v>225.03333333333336</v>
      </c>
      <c r="P7" s="13">
        <v>10</v>
      </c>
      <c r="Q7" s="12">
        <v>160.1</v>
      </c>
      <c r="R7" s="13">
        <v>9</v>
      </c>
      <c r="S7" s="12">
        <v>292</v>
      </c>
      <c r="T7" s="13">
        <v>13</v>
      </c>
      <c r="U7" s="12">
        <v>118.2</v>
      </c>
      <c r="V7" s="13">
        <v>9</v>
      </c>
      <c r="W7" s="12">
        <v>0</v>
      </c>
      <c r="X7" s="13">
        <v>0</v>
      </c>
      <c r="Y7" s="12">
        <v>0</v>
      </c>
      <c r="Z7" s="13">
        <v>0</v>
      </c>
      <c r="AA7" s="14">
        <v>1117.0333333333333</v>
      </c>
      <c r="AB7" s="15">
        <v>65</v>
      </c>
    </row>
    <row r="8" spans="1:28" ht="17.25" customHeight="1" x14ac:dyDescent="0.35">
      <c r="A8" s="10">
        <v>4</v>
      </c>
      <c r="B8" s="11" t="s">
        <v>20</v>
      </c>
      <c r="C8" s="12">
        <f>+'[1]BORG-ALIB'!I40</f>
        <v>0</v>
      </c>
      <c r="D8" s="13">
        <f>+'[1]BORG-ALIB'!J40</f>
        <v>0</v>
      </c>
      <c r="E8" s="12">
        <f>+'[1]BORG-ALIB'!Q40</f>
        <v>0</v>
      </c>
      <c r="F8" s="12">
        <f>+'[1]BORG-ALIB'!R40</f>
        <v>0</v>
      </c>
      <c r="G8" s="12">
        <f>+'[1]BORG-ALIB'!Y40</f>
        <v>10.841428571428573</v>
      </c>
      <c r="H8" s="12">
        <f>+'[1]BORG-ALIB'!Z40</f>
        <v>2</v>
      </c>
      <c r="I8" s="12">
        <f>+'[1]BORG-ALIB'!AG40</f>
        <v>173.66857142857143</v>
      </c>
      <c r="J8" s="13">
        <f>+'[1]BORG-ALIB'!AH40</f>
        <v>12</v>
      </c>
      <c r="K8" s="12">
        <v>70.80285714285715</v>
      </c>
      <c r="L8" s="13">
        <v>6</v>
      </c>
      <c r="M8" s="12">
        <v>82.76666666666668</v>
      </c>
      <c r="N8" s="13">
        <v>6</v>
      </c>
      <c r="O8" s="12">
        <v>219.09999999999997</v>
      </c>
      <c r="P8" s="13">
        <v>10</v>
      </c>
      <c r="Q8" s="12">
        <v>108.17999999999999</v>
      </c>
      <c r="R8" s="13">
        <v>3</v>
      </c>
      <c r="S8" s="12">
        <v>363.02099999999996</v>
      </c>
      <c r="T8" s="13">
        <v>10</v>
      </c>
      <c r="U8" s="12">
        <v>89</v>
      </c>
      <c r="V8" s="13">
        <v>9</v>
      </c>
      <c r="W8" s="12">
        <v>0</v>
      </c>
      <c r="X8" s="13">
        <v>0</v>
      </c>
      <c r="Y8" s="12">
        <v>0</v>
      </c>
      <c r="Z8" s="13">
        <v>0</v>
      </c>
      <c r="AA8" s="14">
        <v>1117.3805238095238</v>
      </c>
      <c r="AB8" s="15">
        <v>58</v>
      </c>
    </row>
    <row r="9" spans="1:28" ht="17.25" customHeight="1" x14ac:dyDescent="0.35">
      <c r="A9" s="10">
        <v>5</v>
      </c>
      <c r="B9" s="11" t="s">
        <v>21</v>
      </c>
      <c r="C9" s="12">
        <f>+'[1]BORG-ALIB'!I18</f>
        <v>0</v>
      </c>
      <c r="D9" s="13">
        <f>+'[1]BORG-ALIB'!J18</f>
        <v>0</v>
      </c>
      <c r="E9" s="12">
        <f>+'[1]BORG-ALIB'!Q18</f>
        <v>0</v>
      </c>
      <c r="F9" s="12">
        <f>+'[1]BORG-ALIB'!R18</f>
        <v>0</v>
      </c>
      <c r="G9" s="12">
        <f>+'[1]BORG-ALIB'!Y18</f>
        <v>14.0175</v>
      </c>
      <c r="H9" s="12">
        <f>+'[1]BORG-ALIB'!Z18</f>
        <v>1</v>
      </c>
      <c r="I9" s="12">
        <f>+'[1]BORG-ALIB'!AG18</f>
        <v>159.85000000000002</v>
      </c>
      <c r="J9" s="13">
        <f>+'[1]BORG-ALIB'!AH18</f>
        <v>10</v>
      </c>
      <c r="K9" s="12">
        <v>79.400000000000006</v>
      </c>
      <c r="L9" s="13">
        <v>5</v>
      </c>
      <c r="M9" s="12">
        <v>44.833333333333336</v>
      </c>
      <c r="N9" s="13">
        <v>4</v>
      </c>
      <c r="O9" s="12">
        <v>63</v>
      </c>
      <c r="P9" s="13">
        <v>6</v>
      </c>
      <c r="Q9" s="12">
        <v>114.96666666666667</v>
      </c>
      <c r="R9" s="13">
        <v>5</v>
      </c>
      <c r="S9" s="12">
        <v>499.75</v>
      </c>
      <c r="T9" s="13">
        <v>13</v>
      </c>
      <c r="U9" s="12">
        <v>152.25</v>
      </c>
      <c r="V9" s="13">
        <v>9</v>
      </c>
      <c r="W9" s="12">
        <v>0</v>
      </c>
      <c r="X9" s="13">
        <v>0</v>
      </c>
      <c r="Y9" s="12">
        <v>0</v>
      </c>
      <c r="Z9" s="13">
        <v>0</v>
      </c>
      <c r="AA9" s="14">
        <v>1128.0675000000001</v>
      </c>
      <c r="AB9" s="15">
        <v>53</v>
      </c>
    </row>
    <row r="10" spans="1:28" ht="17.25" customHeight="1" x14ac:dyDescent="0.35">
      <c r="A10" s="10">
        <v>6</v>
      </c>
      <c r="B10" s="11" t="s">
        <v>22</v>
      </c>
      <c r="C10" s="12">
        <f>+'[1]BORG-ALIB'!I32</f>
        <v>0</v>
      </c>
      <c r="D10" s="13">
        <f>+'[1]BORG-ALIB'!J32</f>
        <v>0</v>
      </c>
      <c r="E10" s="12">
        <f>+'[1]BORG-ALIB'!Q32</f>
        <v>0</v>
      </c>
      <c r="F10" s="12">
        <f>+'[1]BORG-ALIB'!R32</f>
        <v>0</v>
      </c>
      <c r="G10" s="12">
        <f>+'[1]BORG-ALIB'!Y32</f>
        <v>16.684999999999999</v>
      </c>
      <c r="H10" s="12">
        <f>+'[1]BORG-ALIB'!Z32</f>
        <v>2</v>
      </c>
      <c r="I10" s="12">
        <f>+'[1]BORG-ALIB'!AG32</f>
        <v>161.44499999999999</v>
      </c>
      <c r="J10" s="13">
        <f>+'[1]BORG-ALIB'!AH32</f>
        <v>10</v>
      </c>
      <c r="K10" s="12">
        <v>85.195000000000007</v>
      </c>
      <c r="L10" s="13">
        <v>5</v>
      </c>
      <c r="M10" s="12">
        <v>72.849999999999994</v>
      </c>
      <c r="N10" s="13">
        <v>7</v>
      </c>
      <c r="O10" s="12">
        <v>274.57499999999999</v>
      </c>
      <c r="P10" s="13">
        <v>9</v>
      </c>
      <c r="Q10" s="12">
        <v>161.25</v>
      </c>
      <c r="R10" s="13">
        <v>10</v>
      </c>
      <c r="S10" s="12">
        <v>455.8</v>
      </c>
      <c r="T10" s="13">
        <v>13</v>
      </c>
      <c r="U10" s="12">
        <v>101.175</v>
      </c>
      <c r="V10" s="13">
        <v>9</v>
      </c>
      <c r="W10" s="12">
        <v>0</v>
      </c>
      <c r="X10" s="13">
        <v>0</v>
      </c>
      <c r="Y10" s="12">
        <v>0</v>
      </c>
      <c r="Z10" s="13">
        <v>0</v>
      </c>
      <c r="AA10" s="14">
        <v>1328.9749999999999</v>
      </c>
      <c r="AB10" s="15">
        <v>65</v>
      </c>
    </row>
    <row r="11" spans="1:28" ht="17.25" customHeight="1" x14ac:dyDescent="0.35">
      <c r="A11" s="10">
        <v>7</v>
      </c>
      <c r="B11" s="11" t="s">
        <v>23</v>
      </c>
      <c r="C11" s="12">
        <f>+'[1]BORG-ALIB'!I53</f>
        <v>0</v>
      </c>
      <c r="D11" s="13">
        <f>+'[1]BORG-ALIB'!J53</f>
        <v>0</v>
      </c>
      <c r="E11" s="12">
        <f>+'[1]BORG-ALIB'!Q53</f>
        <v>0</v>
      </c>
      <c r="F11" s="12">
        <f>+'[1]BORG-ALIB'!R53</f>
        <v>0</v>
      </c>
      <c r="G11" s="12">
        <f>+'[1]BORG-ALIB'!Y53</f>
        <v>0</v>
      </c>
      <c r="H11" s="12">
        <f>+'[1]BORG-ALIB'!Z53</f>
        <v>0</v>
      </c>
      <c r="I11" s="12">
        <f>+'[1]BORG-ALIB'!AG53</f>
        <v>126.04999999999998</v>
      </c>
      <c r="J11" s="13">
        <f>+'[1]BORG-ALIB'!AH53</f>
        <v>10</v>
      </c>
      <c r="K11" s="12">
        <v>181.05799999999999</v>
      </c>
      <c r="L11" s="13">
        <v>5</v>
      </c>
      <c r="M11" s="12">
        <v>72.319999999999993</v>
      </c>
      <c r="N11" s="13">
        <v>7</v>
      </c>
      <c r="O11" s="12">
        <v>175.57999999999998</v>
      </c>
      <c r="P11" s="13">
        <v>9</v>
      </c>
      <c r="Q11" s="12">
        <v>175.54249999999999</v>
      </c>
      <c r="R11" s="13">
        <v>8</v>
      </c>
      <c r="S11" s="12">
        <v>318.72000000000003</v>
      </c>
      <c r="T11" s="13">
        <v>13</v>
      </c>
      <c r="U11" s="12">
        <v>174.64</v>
      </c>
      <c r="V11" s="13">
        <v>11</v>
      </c>
      <c r="W11" s="12">
        <v>0</v>
      </c>
      <c r="X11" s="13">
        <v>0</v>
      </c>
      <c r="Y11" s="12">
        <v>0</v>
      </c>
      <c r="Z11" s="13">
        <v>0</v>
      </c>
      <c r="AA11" s="14">
        <v>1223.9105</v>
      </c>
      <c r="AB11" s="15">
        <v>63</v>
      </c>
    </row>
    <row r="12" spans="1:28" ht="19.5" customHeight="1" x14ac:dyDescent="0.35">
      <c r="A12" s="10">
        <v>8</v>
      </c>
      <c r="B12" s="11" t="s">
        <v>24</v>
      </c>
      <c r="C12" s="12">
        <f>+'[1]BORG-ALIB'!I12</f>
        <v>0</v>
      </c>
      <c r="D12" s="13">
        <f>+'[1]BORG-ALIB'!J12</f>
        <v>0</v>
      </c>
      <c r="E12" s="12">
        <f>+'[1]BORG-ALIB'!Q12</f>
        <v>0</v>
      </c>
      <c r="F12" s="12">
        <f>+'[1]BORG-ALIB'!R12</f>
        <v>0</v>
      </c>
      <c r="G12" s="12">
        <f>+'[1]BORG-ALIB'!Y12</f>
        <v>3.75</v>
      </c>
      <c r="H12" s="12">
        <f>+'[1]BORG-ALIB'!Z12</f>
        <v>1</v>
      </c>
      <c r="I12" s="12">
        <f>+'[1]BORG-ALIB'!AG12</f>
        <v>98.078000000000003</v>
      </c>
      <c r="J12" s="13">
        <f>+'[1]BORG-ALIB'!AH12</f>
        <v>11</v>
      </c>
      <c r="K12" s="12">
        <v>58.580666666666666</v>
      </c>
      <c r="L12" s="13">
        <v>5</v>
      </c>
      <c r="M12" s="12">
        <v>70.36666666666666</v>
      </c>
      <c r="N12" s="13">
        <v>6</v>
      </c>
      <c r="O12" s="12">
        <v>34.960000000000008</v>
      </c>
      <c r="P12" s="13">
        <v>4</v>
      </c>
      <c r="Q12" s="12">
        <v>164.89499999999998</v>
      </c>
      <c r="R12" s="13">
        <v>6</v>
      </c>
      <c r="S12" s="12">
        <v>521.6875</v>
      </c>
      <c r="T12" s="13">
        <v>14</v>
      </c>
      <c r="U12" s="12">
        <v>182.95</v>
      </c>
      <c r="V12" s="13">
        <v>10</v>
      </c>
      <c r="W12" s="12">
        <v>0</v>
      </c>
      <c r="X12" s="13">
        <v>0</v>
      </c>
      <c r="Y12" s="12">
        <v>0</v>
      </c>
      <c r="Z12" s="13">
        <v>0</v>
      </c>
      <c r="AA12" s="14">
        <v>1135.2678333333333</v>
      </c>
      <c r="AB12" s="15">
        <v>57</v>
      </c>
    </row>
    <row r="13" spans="1:28" ht="19.5" customHeight="1" x14ac:dyDescent="0.35">
      <c r="A13" s="16" t="s">
        <v>25</v>
      </c>
      <c r="B13" s="16"/>
      <c r="C13" s="17">
        <f>+'[1]BORG-ALIB'!I63</f>
        <v>0</v>
      </c>
      <c r="D13" s="17">
        <f>+'[1]BORG-ALIB'!J63</f>
        <v>0</v>
      </c>
      <c r="E13" s="17">
        <f>+'[1]BORG-ALIB'!Q63</f>
        <v>0</v>
      </c>
      <c r="F13" s="17">
        <f>+'[1]BORG-ALIB'!R63</f>
        <v>0</v>
      </c>
      <c r="G13" s="17">
        <f>+'[1]BORG-ALIB'!Y63</f>
        <v>6.8934782608695659</v>
      </c>
      <c r="H13" s="17">
        <f>+'[1]BORG-ALIB'!Z63</f>
        <v>2</v>
      </c>
      <c r="I13" s="17">
        <f>+'[1]BORG-ALIB'!AG63</f>
        <v>153.56586956521738</v>
      </c>
      <c r="J13" s="17">
        <f>+'[1]BORG-ALIB'!AH63</f>
        <v>12</v>
      </c>
      <c r="K13" s="17">
        <v>126.7123745819398</v>
      </c>
      <c r="L13" s="17">
        <v>7</v>
      </c>
      <c r="M13" s="17">
        <v>82.961524390243895</v>
      </c>
      <c r="N13" s="17">
        <v>6</v>
      </c>
      <c r="O13" s="17">
        <v>178.54129378323859</v>
      </c>
      <c r="P13" s="17">
        <v>9</v>
      </c>
      <c r="Q13" s="17">
        <v>152.91102339181288</v>
      </c>
      <c r="R13" s="17">
        <v>8</v>
      </c>
      <c r="S13" s="17">
        <v>357.89914743589748</v>
      </c>
      <c r="T13" s="17">
        <v>13</v>
      </c>
      <c r="U13" s="17">
        <v>123.50000000000001</v>
      </c>
      <c r="V13" s="17">
        <v>9</v>
      </c>
      <c r="W13" s="17">
        <v>0</v>
      </c>
      <c r="X13" s="17">
        <v>0</v>
      </c>
      <c r="Y13" s="17">
        <v>0</v>
      </c>
      <c r="Z13" s="17">
        <v>0</v>
      </c>
      <c r="AA13" s="17">
        <v>1182.9847114092197</v>
      </c>
      <c r="AB13" s="17">
        <v>66</v>
      </c>
    </row>
    <row r="14" spans="1:28" ht="19.5" customHeight="1" x14ac:dyDescent="0.35">
      <c r="A14" s="10">
        <v>9</v>
      </c>
      <c r="B14" s="11" t="s">
        <v>26</v>
      </c>
      <c r="C14" s="12">
        <f>+'[1]BORG-ALIB'!I100</f>
        <v>0</v>
      </c>
      <c r="D14" s="13">
        <f>+'[1]BORG-ALIB'!J100</f>
        <v>0</v>
      </c>
      <c r="E14" s="12">
        <f>+'[1]BORG-ALIB'!Q100</f>
        <v>0</v>
      </c>
      <c r="F14" s="12">
        <f>+'[1]BORG-ALIB'!R100</f>
        <v>0</v>
      </c>
      <c r="G14" s="12">
        <f>+'[1]BORG-ALIB'!Y100</f>
        <v>0</v>
      </c>
      <c r="H14" s="12">
        <f>+'[1]BORG-ALIB'!Z100</f>
        <v>0</v>
      </c>
      <c r="I14" s="12">
        <f>+'[1]BORG-ALIB'!AG100</f>
        <v>2.127272727272727</v>
      </c>
      <c r="J14" s="13">
        <f>+'[1]BORG-ALIB'!AH100</f>
        <v>3</v>
      </c>
      <c r="K14" s="12">
        <v>108.32272727272728</v>
      </c>
      <c r="L14" s="13">
        <v>7</v>
      </c>
      <c r="M14" s="12">
        <v>138.20909090909092</v>
      </c>
      <c r="N14" s="13">
        <v>9</v>
      </c>
      <c r="O14" s="12">
        <v>260.28181818181821</v>
      </c>
      <c r="P14" s="13">
        <v>13</v>
      </c>
      <c r="Q14" s="12">
        <v>186.22499999999999</v>
      </c>
      <c r="R14" s="13">
        <v>11</v>
      </c>
      <c r="S14" s="12">
        <v>192.38333333333333</v>
      </c>
      <c r="T14" s="13">
        <v>13</v>
      </c>
      <c r="U14" s="12">
        <v>76.00833333333334</v>
      </c>
      <c r="V14" s="13">
        <v>7</v>
      </c>
      <c r="W14" s="12">
        <v>0</v>
      </c>
      <c r="X14" s="13">
        <v>0</v>
      </c>
      <c r="Y14" s="12">
        <v>0</v>
      </c>
      <c r="Z14" s="13">
        <v>0</v>
      </c>
      <c r="AA14" s="14">
        <v>963.55757575757582</v>
      </c>
      <c r="AB14" s="15">
        <v>63</v>
      </c>
    </row>
    <row r="15" spans="1:28" ht="19.5" customHeight="1" x14ac:dyDescent="0.35">
      <c r="A15" s="10">
        <v>10</v>
      </c>
      <c r="B15" s="11" t="s">
        <v>27</v>
      </c>
      <c r="C15" s="12">
        <f>+'[1]BORG-ALIB'!I74</f>
        <v>0</v>
      </c>
      <c r="D15" s="13">
        <f>+'[1]BORG-ALIB'!J74</f>
        <v>0</v>
      </c>
      <c r="E15" s="12">
        <f>+'[1]BORG-ALIB'!Q74</f>
        <v>0</v>
      </c>
      <c r="F15" s="12">
        <f>+'[1]BORG-ALIB'!R74</f>
        <v>0</v>
      </c>
      <c r="G15" s="12">
        <f>+'[1]BORG-ALIB'!Y74</f>
        <v>0</v>
      </c>
      <c r="H15" s="12">
        <f>+'[1]BORG-ALIB'!Z74</f>
        <v>0</v>
      </c>
      <c r="I15" s="12">
        <f>+'[1]BORG-ALIB'!AG74</f>
        <v>0</v>
      </c>
      <c r="J15" s="13">
        <f>+'[1]BORG-ALIB'!AH74</f>
        <v>0</v>
      </c>
      <c r="K15" s="12">
        <v>107.47777777777777</v>
      </c>
      <c r="L15" s="13">
        <v>7</v>
      </c>
      <c r="M15" s="12">
        <v>101.94444444444444</v>
      </c>
      <c r="N15" s="13">
        <v>8</v>
      </c>
      <c r="O15" s="12">
        <v>298.14444444444439</v>
      </c>
      <c r="P15" s="13">
        <v>14</v>
      </c>
      <c r="Q15" s="12">
        <v>183.73000000000002</v>
      </c>
      <c r="R15" s="13">
        <v>14</v>
      </c>
      <c r="S15" s="12">
        <v>227.41</v>
      </c>
      <c r="T15" s="13">
        <v>16</v>
      </c>
      <c r="U15" s="12">
        <v>111.61</v>
      </c>
      <c r="V15" s="13">
        <v>7</v>
      </c>
      <c r="W15" s="12">
        <v>0</v>
      </c>
      <c r="X15" s="13">
        <v>0</v>
      </c>
      <c r="Y15" s="12">
        <v>0</v>
      </c>
      <c r="Z15" s="13">
        <v>0</v>
      </c>
      <c r="AA15" s="14">
        <v>1030.3166666666666</v>
      </c>
      <c r="AB15" s="15">
        <v>66</v>
      </c>
    </row>
    <row r="16" spans="1:28" ht="19.5" customHeight="1" x14ac:dyDescent="0.35">
      <c r="A16" s="10">
        <v>11</v>
      </c>
      <c r="B16" s="11" t="s">
        <v>28</v>
      </c>
      <c r="C16" s="12">
        <f>+'[1]BORG-ALIB'!I87</f>
        <v>0</v>
      </c>
      <c r="D16" s="13">
        <f>+'[1]BORG-ALIB'!J87</f>
        <v>0</v>
      </c>
      <c r="E16" s="12">
        <f>+'[1]BORG-ALIB'!Q87</f>
        <v>0</v>
      </c>
      <c r="F16" s="12">
        <f>+'[1]BORG-ALIB'!R87</f>
        <v>0</v>
      </c>
      <c r="G16" s="12">
        <f>+'[1]BORG-ALIB'!Y87</f>
        <v>0</v>
      </c>
      <c r="H16" s="12">
        <f>+'[1]BORG-ALIB'!Z87</f>
        <v>0</v>
      </c>
      <c r="I16" s="12">
        <f>+'[1]BORG-ALIB'!AG87</f>
        <v>4.8166666666666664</v>
      </c>
      <c r="J16" s="13">
        <f>+'[1]BORG-ALIB'!AH87</f>
        <v>1</v>
      </c>
      <c r="K16" s="12">
        <v>89.466666666666669</v>
      </c>
      <c r="L16" s="13">
        <v>8</v>
      </c>
      <c r="M16" s="12">
        <v>145.58333333333334</v>
      </c>
      <c r="N16" s="13">
        <v>9</v>
      </c>
      <c r="O16" s="12">
        <v>243.90833333333336</v>
      </c>
      <c r="P16" s="13">
        <v>14</v>
      </c>
      <c r="Q16" s="12">
        <v>257.95583333333332</v>
      </c>
      <c r="R16" s="13">
        <v>14</v>
      </c>
      <c r="S16" s="12">
        <v>239.95833333333331</v>
      </c>
      <c r="T16" s="13">
        <v>17</v>
      </c>
      <c r="U16" s="12">
        <v>116.60000000000001</v>
      </c>
      <c r="V16" s="13">
        <v>9</v>
      </c>
      <c r="W16" s="12">
        <v>0</v>
      </c>
      <c r="X16" s="13">
        <v>0</v>
      </c>
      <c r="Y16" s="12">
        <v>0</v>
      </c>
      <c r="Z16" s="13">
        <v>0</v>
      </c>
      <c r="AA16" s="14">
        <v>1098.2891666666665</v>
      </c>
      <c r="AB16" s="15">
        <v>72</v>
      </c>
    </row>
    <row r="17" spans="1:28" ht="19.5" customHeight="1" x14ac:dyDescent="0.35">
      <c r="A17" s="10">
        <v>12</v>
      </c>
      <c r="B17" s="11" t="s">
        <v>29</v>
      </c>
      <c r="C17" s="12">
        <f>+'[1]BORG-ALIB'!I124</f>
        <v>0</v>
      </c>
      <c r="D17" s="13">
        <f>+'[1]BORG-ALIB'!J124</f>
        <v>0</v>
      </c>
      <c r="E17" s="12">
        <f>+'[1]BORG-ALIB'!Q124</f>
        <v>0</v>
      </c>
      <c r="F17" s="12">
        <f>+'[1]BORG-ALIB'!R124</f>
        <v>0</v>
      </c>
      <c r="G17" s="12">
        <f>+'[1]BORG-ALIB'!Y124</f>
        <v>0</v>
      </c>
      <c r="H17" s="12">
        <f>+'[1]BORG-ALIB'!Z124</f>
        <v>0</v>
      </c>
      <c r="I17" s="12">
        <f>+'[1]BORG-ALIB'!AG124</f>
        <v>0</v>
      </c>
      <c r="J17" s="13">
        <f>+'[1]BORG-ALIB'!AH124</f>
        <v>0</v>
      </c>
      <c r="K17" s="12">
        <v>54.019999999999996</v>
      </c>
      <c r="L17" s="13">
        <v>5</v>
      </c>
      <c r="M17" s="12">
        <v>82.46</v>
      </c>
      <c r="N17" s="13">
        <v>4</v>
      </c>
      <c r="O17" s="12">
        <v>251.92000000000002</v>
      </c>
      <c r="P17" s="13">
        <v>10</v>
      </c>
      <c r="Q17" s="12">
        <v>365.4</v>
      </c>
      <c r="R17" s="13">
        <v>10</v>
      </c>
      <c r="S17" s="12">
        <v>162.74</v>
      </c>
      <c r="T17" s="13">
        <v>10</v>
      </c>
      <c r="U17" s="12">
        <v>35.620000000000005</v>
      </c>
      <c r="V17" s="13">
        <v>3</v>
      </c>
      <c r="W17" s="12">
        <v>0</v>
      </c>
      <c r="X17" s="13">
        <v>0</v>
      </c>
      <c r="Y17" s="12">
        <v>0</v>
      </c>
      <c r="Z17" s="13">
        <v>0</v>
      </c>
      <c r="AA17" s="14">
        <v>952.16</v>
      </c>
      <c r="AB17" s="15">
        <v>42</v>
      </c>
    </row>
    <row r="18" spans="1:28" ht="19.5" customHeight="1" x14ac:dyDescent="0.35">
      <c r="A18" s="10">
        <v>13</v>
      </c>
      <c r="B18" s="11" t="s">
        <v>30</v>
      </c>
      <c r="C18" s="12">
        <f>+'[1]BORG-ALIB'!I118</f>
        <v>0</v>
      </c>
      <c r="D18" s="13">
        <f>+'[1]BORG-ALIB'!J118</f>
        <v>0</v>
      </c>
      <c r="E18" s="12">
        <f>+'[1]BORG-ALIB'!Q118</f>
        <v>0</v>
      </c>
      <c r="F18" s="12">
        <f>+'[1]BORG-ALIB'!R118</f>
        <v>0</v>
      </c>
      <c r="G18" s="12">
        <f>+'[1]BORG-ALIB'!Y118</f>
        <v>0</v>
      </c>
      <c r="H18" s="12">
        <f>+'[1]BORG-ALIB'!Z118</f>
        <v>0</v>
      </c>
      <c r="I18" s="12">
        <f>+'[1]BORG-ALIB'!AG118</f>
        <v>0</v>
      </c>
      <c r="J18" s="13">
        <f>+'[1]BORG-ALIB'!AH118</f>
        <v>0</v>
      </c>
      <c r="K18" s="12">
        <v>88.38333333333334</v>
      </c>
      <c r="L18" s="13">
        <v>7</v>
      </c>
      <c r="M18" s="12">
        <v>114.00833333333334</v>
      </c>
      <c r="N18" s="13">
        <v>8</v>
      </c>
      <c r="O18" s="12">
        <v>198.95000000000002</v>
      </c>
      <c r="P18" s="13">
        <v>13</v>
      </c>
      <c r="Q18" s="12">
        <v>294.03666666666669</v>
      </c>
      <c r="R18" s="13">
        <v>13</v>
      </c>
      <c r="S18" s="12">
        <v>240.08333333333331</v>
      </c>
      <c r="T18" s="13">
        <v>17</v>
      </c>
      <c r="U18" s="12">
        <v>86.724999999999994</v>
      </c>
      <c r="V18" s="13">
        <v>7</v>
      </c>
      <c r="W18" s="12">
        <v>0</v>
      </c>
      <c r="X18" s="13">
        <v>0</v>
      </c>
      <c r="Y18" s="12">
        <v>0</v>
      </c>
      <c r="Z18" s="13">
        <v>0</v>
      </c>
      <c r="AA18" s="14">
        <v>1022.1866666666666</v>
      </c>
      <c r="AB18" s="15">
        <v>65</v>
      </c>
    </row>
    <row r="19" spans="1:28" ht="19.5" customHeight="1" x14ac:dyDescent="0.35">
      <c r="A19" s="10">
        <v>14</v>
      </c>
      <c r="B19" s="11" t="s">
        <v>31</v>
      </c>
      <c r="C19" s="12">
        <f>+'[1]BORG-ALIB'!I111</f>
        <v>0</v>
      </c>
      <c r="D19" s="13">
        <f>+'[1]BORG-ALIB'!J111</f>
        <v>0</v>
      </c>
      <c r="E19" s="12">
        <f>+'[1]BORG-ALIB'!Q111</f>
        <v>0</v>
      </c>
      <c r="F19" s="12">
        <f>+'[1]BORG-ALIB'!R111</f>
        <v>0</v>
      </c>
      <c r="G19" s="12">
        <f>+'[1]BORG-ALIB'!Y111</f>
        <v>0</v>
      </c>
      <c r="H19" s="12">
        <f>+'[1]BORG-ALIB'!Z111</f>
        <v>0</v>
      </c>
      <c r="I19" s="12">
        <f>+'[1]BORG-ALIB'!AG111</f>
        <v>3</v>
      </c>
      <c r="J19" s="13">
        <f>+'[1]BORG-ALIB'!AH111</f>
        <v>1</v>
      </c>
      <c r="K19" s="12">
        <v>88.8</v>
      </c>
      <c r="L19" s="13">
        <v>5</v>
      </c>
      <c r="M19" s="12">
        <v>98.1</v>
      </c>
      <c r="N19" s="13">
        <v>9</v>
      </c>
      <c r="O19" s="12">
        <v>251.39999999999998</v>
      </c>
      <c r="P19" s="13">
        <v>11</v>
      </c>
      <c r="Q19" s="12">
        <v>213.286</v>
      </c>
      <c r="R19" s="13">
        <v>11</v>
      </c>
      <c r="S19" s="12">
        <v>271.72000000000003</v>
      </c>
      <c r="T19" s="13">
        <v>13</v>
      </c>
      <c r="U19" s="12">
        <v>126.07999999999998</v>
      </c>
      <c r="V19" s="13">
        <v>7</v>
      </c>
      <c r="W19" s="12">
        <v>0</v>
      </c>
      <c r="X19" s="13">
        <v>0</v>
      </c>
      <c r="Y19" s="12">
        <v>0</v>
      </c>
      <c r="Z19" s="13">
        <v>0</v>
      </c>
      <c r="AA19" s="14">
        <v>1052.386</v>
      </c>
      <c r="AB19" s="15">
        <v>57</v>
      </c>
    </row>
    <row r="20" spans="1:28" ht="20.25" customHeight="1" x14ac:dyDescent="0.35">
      <c r="A20" s="16" t="s">
        <v>32</v>
      </c>
      <c r="B20" s="16"/>
      <c r="C20" s="17">
        <f>'[1]BORG-ALIB'!I125</f>
        <v>0</v>
      </c>
      <c r="D20" s="17">
        <f>'[1]BORG-ALIB'!J125</f>
        <v>0</v>
      </c>
      <c r="E20" s="17">
        <f>'[1]BORG-ALIB'!Q125</f>
        <v>0</v>
      </c>
      <c r="F20" s="17">
        <f>'[1]BORG-ALIB'!R125</f>
        <v>0</v>
      </c>
      <c r="G20" s="17">
        <f>'[1]BORG-ALIB'!Y125</f>
        <v>0</v>
      </c>
      <c r="H20" s="17">
        <f>'[1]BORG-ALIB'!Z125</f>
        <v>0</v>
      </c>
      <c r="I20" s="17">
        <f>'[1]BORG-ALIB'!AG125</f>
        <v>1.9876811594202899</v>
      </c>
      <c r="J20" s="17">
        <f>'[1]BORG-ALIB'!AH125</f>
        <v>3</v>
      </c>
      <c r="K20" s="17">
        <v>93.267708333333331</v>
      </c>
      <c r="L20" s="17">
        <v>7</v>
      </c>
      <c r="M20" s="17">
        <v>120.24270833333334</v>
      </c>
      <c r="N20" s="17">
        <v>9</v>
      </c>
      <c r="O20" s="17">
        <v>253.82499999999999</v>
      </c>
      <c r="P20" s="17">
        <v>13</v>
      </c>
      <c r="Q20" s="17">
        <v>236.50239999999999</v>
      </c>
      <c r="R20" s="17">
        <v>12</v>
      </c>
      <c r="S20" s="17">
        <v>221.5</v>
      </c>
      <c r="T20" s="17">
        <v>15</v>
      </c>
      <c r="U20" s="17">
        <v>95.160836734693873</v>
      </c>
      <c r="V20" s="17">
        <v>8</v>
      </c>
      <c r="W20" s="17">
        <v>0</v>
      </c>
      <c r="X20" s="17">
        <v>0</v>
      </c>
      <c r="Y20" s="17">
        <v>0</v>
      </c>
      <c r="Z20" s="17">
        <v>0</v>
      </c>
      <c r="AA20" s="17">
        <v>1022.4863345607807</v>
      </c>
      <c r="AB20" s="17">
        <v>67</v>
      </c>
    </row>
    <row r="21" spans="1:28" ht="20.25" customHeight="1" x14ac:dyDescent="0.35">
      <c r="A21" s="16" t="s">
        <v>33</v>
      </c>
      <c r="B21" s="16"/>
      <c r="C21" s="17">
        <f>+'[1]BORG-ALIB'!I126</f>
        <v>0</v>
      </c>
      <c r="D21" s="17">
        <f>+'[1]BORG-ALIB'!J126</f>
        <v>0</v>
      </c>
      <c r="E21" s="17">
        <f>+'[1]BORG-ALIB'!Q126</f>
        <v>0</v>
      </c>
      <c r="F21" s="17">
        <f>+'[1]BORG-ALIB'!R126</f>
        <v>0</v>
      </c>
      <c r="G21" s="17">
        <f>+'[1]BORG-ALIB'!Y126</f>
        <v>3.5233333333333334</v>
      </c>
      <c r="H21" s="17">
        <f>+'[1]BORG-ALIB'!Z126</f>
        <v>2</v>
      </c>
      <c r="I21" s="17">
        <f>+'[1]BORG-ALIB'!AG126</f>
        <v>81.690010101010103</v>
      </c>
      <c r="J21" s="17">
        <f>+'[1]BORG-ALIB'!AH126</f>
        <v>7</v>
      </c>
      <c r="K21" s="17">
        <v>109.54550200803214</v>
      </c>
      <c r="L21" s="17">
        <v>7</v>
      </c>
      <c r="M21" s="17">
        <v>103.63233893557424</v>
      </c>
      <c r="N21" s="17">
        <v>8</v>
      </c>
      <c r="O21" s="17">
        <v>215.4313234459978</v>
      </c>
      <c r="P21" s="17">
        <v>11</v>
      </c>
      <c r="Q21" s="17">
        <v>201.36602173399481</v>
      </c>
      <c r="R21" s="17">
        <v>10</v>
      </c>
      <c r="S21" s="17">
        <v>286.61524789915967</v>
      </c>
      <c r="T21" s="17">
        <v>13</v>
      </c>
      <c r="U21" s="17">
        <v>108.58912076878944</v>
      </c>
      <c r="V21" s="17">
        <v>9</v>
      </c>
      <c r="W21" s="17">
        <v>0</v>
      </c>
      <c r="X21" s="17">
        <v>0</v>
      </c>
      <c r="Y21" s="17">
        <v>0</v>
      </c>
      <c r="Z21" s="17">
        <v>0</v>
      </c>
      <c r="AA21" s="17">
        <v>1110.3928982258915</v>
      </c>
      <c r="AB21" s="17">
        <v>67</v>
      </c>
    </row>
    <row r="22" spans="1:28" x14ac:dyDescent="0.35">
      <c r="A22" s="10">
        <v>15</v>
      </c>
      <c r="B22" s="18" t="s">
        <v>34</v>
      </c>
      <c r="C22" s="12">
        <f>+'[1]ATAC-DONG'!I8</f>
        <v>0</v>
      </c>
      <c r="D22" s="13">
        <f>+'[1]ATAC-DONG'!J8</f>
        <v>0</v>
      </c>
      <c r="E22" s="12">
        <f>'[1]ATAC-DONG'!Q8</f>
        <v>0</v>
      </c>
      <c r="F22" s="12">
        <f>+'[1]ATAC-DONG'!R8</f>
        <v>0</v>
      </c>
      <c r="G22" s="12">
        <f>+'[1]ATAC-DONG'!Y8</f>
        <v>0</v>
      </c>
      <c r="H22" s="12">
        <f>+'[1]ATAC-DONG'!Z8</f>
        <v>0</v>
      </c>
      <c r="I22" s="12">
        <f>+'[1]ATAC-DONG'!AG8</f>
        <v>0</v>
      </c>
      <c r="J22" s="13">
        <f>+'[1]ATAC-DONG'!AH8</f>
        <v>0</v>
      </c>
      <c r="K22" s="12">
        <v>212</v>
      </c>
      <c r="L22" s="13">
        <v>5</v>
      </c>
      <c r="M22" s="12">
        <v>156</v>
      </c>
      <c r="N22" s="13">
        <v>4</v>
      </c>
      <c r="O22" s="12">
        <v>181.5</v>
      </c>
      <c r="P22" s="13">
        <v>6</v>
      </c>
      <c r="Q22" s="12">
        <v>157</v>
      </c>
      <c r="R22" s="13">
        <v>6</v>
      </c>
      <c r="S22" s="12">
        <v>219</v>
      </c>
      <c r="T22" s="13">
        <v>15</v>
      </c>
      <c r="U22" s="12">
        <v>141.1</v>
      </c>
      <c r="V22" s="13">
        <v>9</v>
      </c>
      <c r="W22" s="12">
        <v>0</v>
      </c>
      <c r="X22" s="13">
        <v>0</v>
      </c>
      <c r="Y22" s="12">
        <v>0</v>
      </c>
      <c r="Z22" s="13">
        <v>0</v>
      </c>
      <c r="AA22" s="14">
        <v>1066.5999999999999</v>
      </c>
      <c r="AB22" s="15">
        <v>45</v>
      </c>
    </row>
    <row r="23" spans="1:28" x14ac:dyDescent="0.35">
      <c r="A23" s="10">
        <v>16</v>
      </c>
      <c r="B23" s="18" t="s">
        <v>35</v>
      </c>
      <c r="C23" s="12">
        <f>+'[1]ATAC-DONG'!I14</f>
        <v>0</v>
      </c>
      <c r="D23" s="13">
        <f>+'[1]ATAC-DONG'!J14</f>
        <v>0</v>
      </c>
      <c r="E23" s="12">
        <f>'[1]ATAC-DONG'!Q14</f>
        <v>0</v>
      </c>
      <c r="F23" s="12">
        <f>+'[1]ATAC-DONG'!R14</f>
        <v>0</v>
      </c>
      <c r="G23" s="12">
        <f>+'[1]ATAC-DONG'!Y14</f>
        <v>0</v>
      </c>
      <c r="H23" s="12">
        <f>+'[1]ATAC-DONG'!Z14</f>
        <v>0</v>
      </c>
      <c r="I23" s="12">
        <f>+'[1]ATAC-DONG'!AG14</f>
        <v>0</v>
      </c>
      <c r="J23" s="13">
        <f>+'[1]ATAC-DONG'!AH14</f>
        <v>0</v>
      </c>
      <c r="K23" s="12">
        <v>122.6</v>
      </c>
      <c r="L23" s="13">
        <v>5</v>
      </c>
      <c r="M23" s="12">
        <v>151.05000000000001</v>
      </c>
      <c r="N23" s="13">
        <v>8</v>
      </c>
      <c r="O23" s="12">
        <v>186.535</v>
      </c>
      <c r="P23" s="13">
        <v>9</v>
      </c>
      <c r="Q23" s="12">
        <v>193.25</v>
      </c>
      <c r="R23" s="13">
        <v>9</v>
      </c>
      <c r="S23" s="12">
        <v>229.5</v>
      </c>
      <c r="T23" s="13">
        <v>12</v>
      </c>
      <c r="U23" s="12">
        <v>318.54999999999995</v>
      </c>
      <c r="V23" s="13">
        <v>14</v>
      </c>
      <c r="W23" s="12">
        <v>0</v>
      </c>
      <c r="X23" s="13">
        <v>0</v>
      </c>
      <c r="Y23" s="12">
        <v>0</v>
      </c>
      <c r="Z23" s="13">
        <v>0</v>
      </c>
      <c r="AA23" s="14">
        <v>1201.4849999999999</v>
      </c>
      <c r="AB23" s="15">
        <v>57</v>
      </c>
    </row>
    <row r="24" spans="1:28" x14ac:dyDescent="0.35">
      <c r="A24" s="10">
        <v>17</v>
      </c>
      <c r="B24" s="11" t="s">
        <v>36</v>
      </c>
      <c r="C24" s="12">
        <f>+'[1]ATAC-DONG'!I22</f>
        <v>0</v>
      </c>
      <c r="D24" s="13">
        <f>+'[1]ATAC-DONG'!J22</f>
        <v>0</v>
      </c>
      <c r="E24" s="12">
        <f>'[1]ATAC-DONG'!Q22</f>
        <v>0</v>
      </c>
      <c r="F24" s="12">
        <f>+'[1]ATAC-DONG'!R22</f>
        <v>0</v>
      </c>
      <c r="G24" s="12">
        <f>+'[1]ATAC-DONG'!Y22</f>
        <v>0</v>
      </c>
      <c r="H24" s="12">
        <f>+'[1]ATAC-DONG'!Z22</f>
        <v>0</v>
      </c>
      <c r="I24" s="12">
        <f>+'[1]ATAC-DONG'!AG22</f>
        <v>54.85</v>
      </c>
      <c r="J24" s="13">
        <f>+'[1]ATAC-DONG'!AH22</f>
        <v>4</v>
      </c>
      <c r="K24" s="12">
        <v>135.30000000000001</v>
      </c>
      <c r="L24" s="13">
        <v>6</v>
      </c>
      <c r="M24" s="12">
        <v>98.6</v>
      </c>
      <c r="N24" s="13">
        <v>11</v>
      </c>
      <c r="O24" s="12">
        <v>179.9</v>
      </c>
      <c r="P24" s="13">
        <v>9</v>
      </c>
      <c r="Q24" s="12">
        <v>290.89999999999998</v>
      </c>
      <c r="R24" s="13">
        <v>14</v>
      </c>
      <c r="S24" s="12">
        <v>204.85</v>
      </c>
      <c r="T24" s="13">
        <v>12</v>
      </c>
      <c r="U24" s="12">
        <v>276.39999999999998</v>
      </c>
      <c r="V24" s="13">
        <v>11</v>
      </c>
      <c r="W24" s="12">
        <v>0</v>
      </c>
      <c r="X24" s="13">
        <v>0</v>
      </c>
      <c r="Y24" s="12">
        <v>0</v>
      </c>
      <c r="Z24" s="13">
        <v>0</v>
      </c>
      <c r="AA24" s="14">
        <v>1240.8</v>
      </c>
      <c r="AB24" s="15">
        <v>67</v>
      </c>
    </row>
    <row r="25" spans="1:28" x14ac:dyDescent="0.35">
      <c r="A25" s="10">
        <v>18</v>
      </c>
      <c r="B25" s="11" t="s">
        <v>37</v>
      </c>
      <c r="C25" s="12">
        <f>+'[1]ATAC-DONG'!I30</f>
        <v>0</v>
      </c>
      <c r="D25" s="13">
        <f>+'[1]ATAC-DONG'!J30</f>
        <v>0</v>
      </c>
      <c r="E25" s="12">
        <f>'[1]ATAC-DONG'!Q30</f>
        <v>3.9</v>
      </c>
      <c r="F25" s="12">
        <f>+'[1]ATAC-DONG'!R30</f>
        <v>1</v>
      </c>
      <c r="G25" s="12">
        <f>+'[1]ATAC-DONG'!Y30</f>
        <v>6</v>
      </c>
      <c r="H25" s="12">
        <f>+'[1]ATAC-DONG'!Z30</f>
        <v>2</v>
      </c>
      <c r="I25" s="12">
        <f>+'[1]ATAC-DONG'!AG30</f>
        <v>76.5</v>
      </c>
      <c r="J25" s="13">
        <f>+'[1]ATAC-DONG'!AH30</f>
        <v>9</v>
      </c>
      <c r="K25" s="12">
        <v>133.20000000000002</v>
      </c>
      <c r="L25" s="13">
        <v>8</v>
      </c>
      <c r="M25" s="12">
        <v>197.5</v>
      </c>
      <c r="N25" s="13">
        <v>14</v>
      </c>
      <c r="O25" s="12">
        <v>194.7</v>
      </c>
      <c r="P25" s="13">
        <v>8</v>
      </c>
      <c r="Q25" s="12">
        <v>280.89</v>
      </c>
      <c r="R25" s="13">
        <v>14</v>
      </c>
      <c r="S25" s="12">
        <v>199.4</v>
      </c>
      <c r="T25" s="13">
        <v>13</v>
      </c>
      <c r="U25" s="12">
        <v>133.5</v>
      </c>
      <c r="V25" s="13">
        <v>10</v>
      </c>
      <c r="W25" s="12">
        <v>0</v>
      </c>
      <c r="X25" s="13">
        <v>0</v>
      </c>
      <c r="Y25" s="12">
        <v>0</v>
      </c>
      <c r="Z25" s="13">
        <v>0</v>
      </c>
      <c r="AA25" s="14">
        <v>1225.5899999999999</v>
      </c>
      <c r="AB25" s="15">
        <v>79</v>
      </c>
    </row>
    <row r="26" spans="1:28" x14ac:dyDescent="0.35">
      <c r="A26" s="10">
        <v>19</v>
      </c>
      <c r="B26" s="11" t="s">
        <v>38</v>
      </c>
      <c r="C26" s="12">
        <f>+'[1]ATAC-DONG'!I19</f>
        <v>0</v>
      </c>
      <c r="D26" s="13">
        <f>+'[1]ATAC-DONG'!J19</f>
        <v>0</v>
      </c>
      <c r="E26" s="12">
        <f>'[1]ATAC-DONG'!Q19</f>
        <v>0</v>
      </c>
      <c r="F26" s="12">
        <f>+'[1]ATAC-DONG'!R19</f>
        <v>0</v>
      </c>
      <c r="G26" s="12">
        <f>+'[1]ATAC-DONG'!Y19</f>
        <v>0</v>
      </c>
      <c r="H26" s="12">
        <f>+'[1]ATAC-DONG'!Z19</f>
        <v>0</v>
      </c>
      <c r="I26" s="12">
        <f>+'[1]ATAC-DONG'!AG19</f>
        <v>0</v>
      </c>
      <c r="J26" s="13">
        <f>+'[1]ATAC-DONG'!AH19</f>
        <v>0</v>
      </c>
      <c r="K26" s="12">
        <v>160.05000000000001</v>
      </c>
      <c r="L26" s="13">
        <v>6</v>
      </c>
      <c r="M26" s="12">
        <v>213</v>
      </c>
      <c r="N26" s="13">
        <v>10</v>
      </c>
      <c r="O26" s="12">
        <v>154.42500000000001</v>
      </c>
      <c r="P26" s="13">
        <v>8</v>
      </c>
      <c r="Q26" s="12">
        <v>117.3</v>
      </c>
      <c r="R26" s="13">
        <v>6</v>
      </c>
      <c r="S26" s="12">
        <v>210.75</v>
      </c>
      <c r="T26" s="13">
        <v>12</v>
      </c>
      <c r="U26" s="12">
        <v>217.125</v>
      </c>
      <c r="V26" s="13">
        <v>9</v>
      </c>
      <c r="W26" s="12">
        <v>0</v>
      </c>
      <c r="X26" s="13">
        <v>0</v>
      </c>
      <c r="Y26" s="12">
        <v>0</v>
      </c>
      <c r="Z26" s="13">
        <v>0</v>
      </c>
      <c r="AA26" s="14">
        <v>1072.6500000000001</v>
      </c>
      <c r="AB26" s="15">
        <v>51</v>
      </c>
    </row>
    <row r="27" spans="1:28" x14ac:dyDescent="0.35">
      <c r="A27" s="10">
        <v>20</v>
      </c>
      <c r="B27" s="11" t="s">
        <v>39</v>
      </c>
      <c r="C27" s="12">
        <f>'[1]ATAC-DONG'!I26</f>
        <v>0</v>
      </c>
      <c r="D27" s="13">
        <f>'[1]ATAC-DONG'!J26</f>
        <v>0</v>
      </c>
      <c r="E27" s="12">
        <f>'[1]ATAC-DONG'!Q26</f>
        <v>0</v>
      </c>
      <c r="F27" s="12">
        <f>'[1]ATAC-DONG'!R26</f>
        <v>0</v>
      </c>
      <c r="G27" s="12">
        <f>'[1]ATAC-DONG'!Y26</f>
        <v>13</v>
      </c>
      <c r="H27" s="12">
        <f>'[1]ATAC-DONG'!Z26</f>
        <v>2</v>
      </c>
      <c r="I27" s="12">
        <f>'[1]ATAC-DONG'!AG26</f>
        <v>74</v>
      </c>
      <c r="J27" s="13">
        <f>'[1]ATAC-DONG'!AH26</f>
        <v>2</v>
      </c>
      <c r="K27" s="12">
        <v>128</v>
      </c>
      <c r="L27" s="13">
        <v>7</v>
      </c>
      <c r="M27" s="12">
        <v>162</v>
      </c>
      <c r="N27" s="13">
        <v>8</v>
      </c>
      <c r="O27" s="12">
        <v>256.5</v>
      </c>
      <c r="P27" s="13">
        <v>8</v>
      </c>
      <c r="Q27" s="12">
        <v>145.5</v>
      </c>
      <c r="R27" s="13">
        <v>9</v>
      </c>
      <c r="S27" s="12">
        <v>233</v>
      </c>
      <c r="T27" s="13">
        <v>19</v>
      </c>
      <c r="U27" s="12">
        <v>154</v>
      </c>
      <c r="V27" s="13">
        <v>10</v>
      </c>
      <c r="W27" s="12">
        <v>0</v>
      </c>
      <c r="X27" s="13">
        <v>0</v>
      </c>
      <c r="Y27" s="12">
        <v>0</v>
      </c>
      <c r="Z27" s="13">
        <v>0</v>
      </c>
      <c r="AA27" s="14">
        <v>1166</v>
      </c>
      <c r="AB27" s="15">
        <v>65</v>
      </c>
    </row>
    <row r="28" spans="1:28" x14ac:dyDescent="0.35">
      <c r="A28" s="10">
        <v>21</v>
      </c>
      <c r="B28" s="11" t="s">
        <v>40</v>
      </c>
      <c r="C28" s="12">
        <f>'[1]ATAC-DONG'!I24</f>
        <v>0</v>
      </c>
      <c r="D28" s="13">
        <f>'[1]ATAC-DONG'!J24</f>
        <v>0</v>
      </c>
      <c r="E28" s="12">
        <f>'[1]ATAC-DONG'!Q24</f>
        <v>0</v>
      </c>
      <c r="F28" s="12">
        <f>'[1]ATAC-DONG'!R24</f>
        <v>0</v>
      </c>
      <c r="G28" s="12">
        <f>'[1]ATAC-DONG'!Y24</f>
        <v>0</v>
      </c>
      <c r="H28" s="12">
        <f>'[1]ATAC-DONG'!Z24</f>
        <v>0</v>
      </c>
      <c r="I28" s="12">
        <f>'[1]ATAC-DONG'!AG24</f>
        <v>81</v>
      </c>
      <c r="J28" s="13">
        <f>'[1]ATAC-DONG'!AH24</f>
        <v>3</v>
      </c>
      <c r="K28" s="12">
        <v>108.3</v>
      </c>
      <c r="L28" s="13">
        <v>5</v>
      </c>
      <c r="M28" s="12">
        <v>126.1</v>
      </c>
      <c r="N28" s="13">
        <v>8</v>
      </c>
      <c r="O28" s="12">
        <v>186.10000000000002</v>
      </c>
      <c r="P28" s="13">
        <v>12</v>
      </c>
      <c r="Q28" s="12">
        <v>244.1</v>
      </c>
      <c r="R28" s="13">
        <v>15</v>
      </c>
      <c r="S28" s="12">
        <v>199.3</v>
      </c>
      <c r="T28" s="13">
        <v>13</v>
      </c>
      <c r="U28" s="12">
        <v>104.4</v>
      </c>
      <c r="V28" s="13">
        <v>10</v>
      </c>
      <c r="W28" s="12">
        <v>0</v>
      </c>
      <c r="X28" s="13">
        <v>0</v>
      </c>
      <c r="Y28" s="12">
        <v>0</v>
      </c>
      <c r="Z28" s="13">
        <v>0</v>
      </c>
      <c r="AA28" s="14">
        <v>1049.3000000000002</v>
      </c>
      <c r="AB28" s="15">
        <v>66</v>
      </c>
    </row>
    <row r="29" spans="1:28" x14ac:dyDescent="0.35">
      <c r="A29" s="10">
        <v>22</v>
      </c>
      <c r="B29" s="11" t="s">
        <v>41</v>
      </c>
      <c r="C29" s="12">
        <f>+'[1]ATAC-DONG'!I11</f>
        <v>0</v>
      </c>
      <c r="D29" s="13">
        <f>+'[1]ATAC-DONG'!J11</f>
        <v>0</v>
      </c>
      <c r="E29" s="12">
        <f>'[1]ATAC-DONG'!Q11</f>
        <v>0</v>
      </c>
      <c r="F29" s="12">
        <f>+'[1]ATAC-DONG'!R11</f>
        <v>0</v>
      </c>
      <c r="G29" s="12">
        <f>+'[1]ATAC-DONG'!Y11</f>
        <v>0</v>
      </c>
      <c r="H29" s="12">
        <f>+'[1]ATAC-DONG'!Z11</f>
        <v>0</v>
      </c>
      <c r="I29" s="12">
        <f>+'[1]ATAC-DONG'!AG11</f>
        <v>17.5</v>
      </c>
      <c r="J29" s="13">
        <f>+'[1]ATAC-DONG'!AH11</f>
        <v>1</v>
      </c>
      <c r="K29" s="12">
        <v>118.5</v>
      </c>
      <c r="L29" s="13">
        <v>6</v>
      </c>
      <c r="M29" s="12">
        <v>143.44999999999999</v>
      </c>
      <c r="N29" s="13">
        <v>7</v>
      </c>
      <c r="O29" s="12">
        <v>206</v>
      </c>
      <c r="P29" s="13">
        <v>6</v>
      </c>
      <c r="Q29" s="12">
        <v>139.1</v>
      </c>
      <c r="R29" s="13">
        <v>8</v>
      </c>
      <c r="S29" s="12">
        <v>238.35</v>
      </c>
      <c r="T29" s="13">
        <v>13</v>
      </c>
      <c r="U29" s="12">
        <v>154.69999999999999</v>
      </c>
      <c r="V29" s="13">
        <v>8</v>
      </c>
      <c r="W29" s="12">
        <v>0</v>
      </c>
      <c r="X29" s="13">
        <v>0</v>
      </c>
      <c r="Y29" s="12">
        <v>0</v>
      </c>
      <c r="Z29" s="13">
        <v>0</v>
      </c>
      <c r="AA29" s="14">
        <v>1017.5999999999999</v>
      </c>
      <c r="AB29" s="15">
        <v>49</v>
      </c>
    </row>
    <row r="30" spans="1:28" ht="15" customHeight="1" x14ac:dyDescent="0.35">
      <c r="A30" s="10">
        <v>23</v>
      </c>
      <c r="B30" s="11" t="s">
        <v>42</v>
      </c>
      <c r="C30" s="12">
        <f>+'[1]ATAC-DONG'!I28</f>
        <v>0</v>
      </c>
      <c r="D30" s="13">
        <f>+'[1]ATAC-DONG'!J28</f>
        <v>0</v>
      </c>
      <c r="E30" s="12">
        <f>'[1]ATAC-DONG'!Q28</f>
        <v>0</v>
      </c>
      <c r="F30" s="12">
        <f>+'[1]ATAC-DONG'!R28</f>
        <v>0</v>
      </c>
      <c r="G30" s="12">
        <f>+'[1]ATAC-DONG'!Y28</f>
        <v>0</v>
      </c>
      <c r="H30" s="12">
        <f>+'[1]ATAC-DONG'!Z28</f>
        <v>0</v>
      </c>
      <c r="I30" s="12">
        <f>+'[1]ATAC-DONG'!AG28</f>
        <v>3</v>
      </c>
      <c r="J30" s="13">
        <f>+'[1]ATAC-DONG'!AH28</f>
        <v>1</v>
      </c>
      <c r="K30" s="12">
        <v>130</v>
      </c>
      <c r="L30" s="13">
        <v>8</v>
      </c>
      <c r="M30" s="12">
        <v>121.8</v>
      </c>
      <c r="N30" s="13">
        <v>5</v>
      </c>
      <c r="O30" s="12">
        <v>210</v>
      </c>
      <c r="P30" s="13">
        <v>7</v>
      </c>
      <c r="Q30" s="12">
        <v>152.69999999999999</v>
      </c>
      <c r="R30" s="13">
        <v>9</v>
      </c>
      <c r="S30" s="12">
        <v>247</v>
      </c>
      <c r="T30" s="13">
        <v>17</v>
      </c>
      <c r="U30" s="12">
        <v>166</v>
      </c>
      <c r="V30" s="13">
        <v>10</v>
      </c>
      <c r="W30" s="12">
        <v>0</v>
      </c>
      <c r="X30" s="13">
        <v>0</v>
      </c>
      <c r="Y30" s="12">
        <v>0</v>
      </c>
      <c r="Z30" s="13">
        <v>0</v>
      </c>
      <c r="AA30" s="14">
        <v>1030.5</v>
      </c>
      <c r="AB30" s="15">
        <v>57</v>
      </c>
    </row>
    <row r="31" spans="1:28" ht="20.25" customHeight="1" x14ac:dyDescent="0.35">
      <c r="A31" s="16" t="s">
        <v>43</v>
      </c>
      <c r="B31" s="16"/>
      <c r="C31" s="17">
        <f>+'[1]ATAC-DONG'!I31</f>
        <v>0</v>
      </c>
      <c r="D31" s="17">
        <f>+'[1]ATAC-DONG'!J31</f>
        <v>0</v>
      </c>
      <c r="E31" s="17">
        <f>'[1]ATAC-DONG'!Q31</f>
        <v>0.26</v>
      </c>
      <c r="F31" s="17">
        <f>+'[1]ATAC-DONG'!R31</f>
        <v>1</v>
      </c>
      <c r="G31" s="17">
        <f>+'[1]ATAC-DONG'!Y31</f>
        <v>1.3123809523809524</v>
      </c>
      <c r="H31" s="17">
        <f>+'[1]ATAC-DONG'!Z31</f>
        <v>3</v>
      </c>
      <c r="I31" s="17">
        <f>+'[1]ATAC-DONG'!AG31</f>
        <v>25.28</v>
      </c>
      <c r="J31" s="17">
        <f>+'[1]ATAC-DONG'!AH31</f>
        <v>3</v>
      </c>
      <c r="K31" s="17">
        <v>140.30000000000001</v>
      </c>
      <c r="L31" s="17">
        <v>7</v>
      </c>
      <c r="M31" s="17">
        <v>160.10666666666665</v>
      </c>
      <c r="N31" s="17">
        <v>9</v>
      </c>
      <c r="O31" s="17">
        <v>186.09133333333335</v>
      </c>
      <c r="P31" s="17">
        <v>8</v>
      </c>
      <c r="Q31" s="17">
        <v>179.726</v>
      </c>
      <c r="R31" s="17">
        <v>11</v>
      </c>
      <c r="S31" s="17">
        <v>219.07333333333338</v>
      </c>
      <c r="T31" s="17">
        <v>15</v>
      </c>
      <c r="U31" s="17">
        <v>204.45333333333332</v>
      </c>
      <c r="V31" s="17">
        <v>12</v>
      </c>
      <c r="W31" s="17">
        <v>0</v>
      </c>
      <c r="X31" s="17">
        <v>0</v>
      </c>
      <c r="Y31" s="17">
        <v>0</v>
      </c>
      <c r="Z31" s="17">
        <v>0</v>
      </c>
      <c r="AA31" s="17">
        <v>1116.6030476190476</v>
      </c>
      <c r="AB31" s="17">
        <v>69</v>
      </c>
    </row>
    <row r="32" spans="1:28" ht="15" customHeight="1" x14ac:dyDescent="0.35">
      <c r="A32" s="10">
        <v>24</v>
      </c>
      <c r="B32" s="11" t="s">
        <v>44</v>
      </c>
      <c r="C32" s="12">
        <f>+'[1]ATAC-DONG'!I35</f>
        <v>0</v>
      </c>
      <c r="D32" s="13">
        <f>+'[1]ATAC-DONG'!J35</f>
        <v>0</v>
      </c>
      <c r="E32" s="12">
        <f>'[1]ATAC-DONG'!Q35</f>
        <v>0</v>
      </c>
      <c r="F32" s="12">
        <f>+'[1]ATAC-DONG'!R35</f>
        <v>0</v>
      </c>
      <c r="G32" s="12">
        <f>+'[1]ATAC-DONG'!Y35</f>
        <v>18.600000000000001</v>
      </c>
      <c r="H32" s="12">
        <f>+'[1]ATAC-DONG'!Z35</f>
        <v>3</v>
      </c>
      <c r="I32" s="12">
        <f>+'[1]ATAC-DONG'!AG35</f>
        <v>30.200000000000003</v>
      </c>
      <c r="J32" s="13">
        <f>+'[1]ATAC-DONG'!AH35</f>
        <v>3</v>
      </c>
      <c r="K32" s="12">
        <v>57.300000000000004</v>
      </c>
      <c r="L32" s="13">
        <v>3</v>
      </c>
      <c r="M32" s="12">
        <v>109.5</v>
      </c>
      <c r="N32" s="13">
        <v>8</v>
      </c>
      <c r="O32" s="12">
        <v>130.94333333333333</v>
      </c>
      <c r="P32" s="13">
        <v>7</v>
      </c>
      <c r="Q32" s="12">
        <v>99.833333333333329</v>
      </c>
      <c r="R32" s="13">
        <v>8</v>
      </c>
      <c r="S32" s="12">
        <v>121.93333333333334</v>
      </c>
      <c r="T32" s="13">
        <v>11</v>
      </c>
      <c r="U32" s="12">
        <v>96.6</v>
      </c>
      <c r="V32" s="13">
        <v>7</v>
      </c>
      <c r="W32" s="12">
        <v>0</v>
      </c>
      <c r="X32" s="13">
        <v>0</v>
      </c>
      <c r="Y32" s="12">
        <v>0</v>
      </c>
      <c r="Z32" s="13">
        <v>0</v>
      </c>
      <c r="AA32" s="14">
        <v>664.91</v>
      </c>
      <c r="AB32" s="15">
        <v>50</v>
      </c>
    </row>
    <row r="33" spans="1:28" x14ac:dyDescent="0.35">
      <c r="A33" s="10">
        <v>25</v>
      </c>
      <c r="B33" s="11" t="s">
        <v>45</v>
      </c>
      <c r="C33" s="12">
        <f>+'[1]ATAC-DONG'!I48</f>
        <v>0</v>
      </c>
      <c r="D33" s="13">
        <f>+'[1]ATAC-DONG'!J48</f>
        <v>0</v>
      </c>
      <c r="E33" s="12">
        <f>'[1]ATAC-DONG'!Q48</f>
        <v>0</v>
      </c>
      <c r="F33" s="12">
        <f>+'[1]ATAC-DONG'!R48</f>
        <v>0</v>
      </c>
      <c r="G33" s="12">
        <f>+'[1]ATAC-DONG'!Y48</f>
        <v>5.5666666666666664</v>
      </c>
      <c r="H33" s="12">
        <f>+'[1]ATAC-DONG'!Z48</f>
        <v>3</v>
      </c>
      <c r="I33" s="12">
        <f>+'[1]ATAC-DONG'!AG48</f>
        <v>32.687651515151515</v>
      </c>
      <c r="J33" s="13">
        <f>+'[1]ATAC-DONG'!AH48</f>
        <v>6</v>
      </c>
      <c r="K33" s="12">
        <v>75.366666666666674</v>
      </c>
      <c r="L33" s="13">
        <v>5</v>
      </c>
      <c r="M33" s="12">
        <v>140.51499999999999</v>
      </c>
      <c r="N33" s="13">
        <v>8</v>
      </c>
      <c r="O33" s="12">
        <v>177.68583333333333</v>
      </c>
      <c r="P33" s="13">
        <v>9</v>
      </c>
      <c r="Q33" s="12">
        <v>135.53257575757576</v>
      </c>
      <c r="R33" s="13">
        <v>7</v>
      </c>
      <c r="S33" s="12">
        <v>166.63333333333333</v>
      </c>
      <c r="T33" s="13">
        <v>11</v>
      </c>
      <c r="U33" s="12">
        <v>99.833333333333329</v>
      </c>
      <c r="V33" s="13">
        <v>8</v>
      </c>
      <c r="W33" s="12">
        <v>0</v>
      </c>
      <c r="X33" s="13">
        <v>0</v>
      </c>
      <c r="Y33" s="12">
        <v>0</v>
      </c>
      <c r="Z33" s="13">
        <v>0</v>
      </c>
      <c r="AA33" s="14">
        <v>833.82106060606066</v>
      </c>
      <c r="AB33" s="15">
        <v>57</v>
      </c>
    </row>
    <row r="34" spans="1:28" x14ac:dyDescent="0.35">
      <c r="A34" s="10">
        <v>26</v>
      </c>
      <c r="B34" s="11" t="s">
        <v>46</v>
      </c>
      <c r="C34" s="12">
        <f>+'[1]ATAC-DONG'!I40</f>
        <v>0</v>
      </c>
      <c r="D34" s="13">
        <f>+'[1]ATAC-DONG'!J40</f>
        <v>0</v>
      </c>
      <c r="E34" s="12">
        <f>'[1]ATAC-DONG'!Q40</f>
        <v>0</v>
      </c>
      <c r="F34" s="12">
        <f>+'[1]ATAC-DONG'!R40</f>
        <v>0</v>
      </c>
      <c r="G34" s="12">
        <f>+'[1]ATAC-DONG'!Y40</f>
        <v>2.75</v>
      </c>
      <c r="H34" s="12">
        <f>+'[1]ATAC-DONG'!Z40</f>
        <v>1</v>
      </c>
      <c r="I34" s="12">
        <f>+'[1]ATAC-DONG'!AG40</f>
        <v>27.142500000000002</v>
      </c>
      <c r="J34" s="13">
        <f>+'[1]ATAC-DONG'!AH40</f>
        <v>3</v>
      </c>
      <c r="K34" s="12">
        <v>77.925000000000011</v>
      </c>
      <c r="L34" s="13">
        <v>5</v>
      </c>
      <c r="M34" s="12">
        <v>120.82499999999999</v>
      </c>
      <c r="N34" s="13">
        <v>6</v>
      </c>
      <c r="O34" s="12">
        <v>229.82499999999999</v>
      </c>
      <c r="P34" s="13">
        <v>11</v>
      </c>
      <c r="Q34" s="12">
        <v>162.57499999999999</v>
      </c>
      <c r="R34" s="13">
        <v>9</v>
      </c>
      <c r="S34" s="12">
        <v>175.25</v>
      </c>
      <c r="T34" s="13">
        <v>9</v>
      </c>
      <c r="U34" s="12">
        <v>84.424999999999997</v>
      </c>
      <c r="V34" s="13">
        <v>6</v>
      </c>
      <c r="W34" s="12">
        <v>0</v>
      </c>
      <c r="X34" s="13">
        <v>0</v>
      </c>
      <c r="Y34" s="12">
        <v>0</v>
      </c>
      <c r="Z34" s="13">
        <v>0</v>
      </c>
      <c r="AA34" s="14">
        <v>880.71749999999997</v>
      </c>
      <c r="AB34" s="15">
        <v>50</v>
      </c>
    </row>
    <row r="35" spans="1:28" x14ac:dyDescent="0.35">
      <c r="A35" s="10">
        <v>27</v>
      </c>
      <c r="B35" s="11" t="s">
        <v>47</v>
      </c>
      <c r="C35" s="12">
        <f>+'[1]ATAC-DONG'!I44</f>
        <v>0</v>
      </c>
      <c r="D35" s="13">
        <f>+'[1]ATAC-DONG'!J44</f>
        <v>0</v>
      </c>
      <c r="E35" s="12">
        <f>'[1]ATAC-DONG'!Q44</f>
        <v>0</v>
      </c>
      <c r="F35" s="12">
        <f>+'[1]ATAC-DONG'!R44</f>
        <v>0</v>
      </c>
      <c r="G35" s="12">
        <f>+'[1]ATAC-DONG'!Y44</f>
        <v>0</v>
      </c>
      <c r="H35" s="12">
        <f>+'[1]ATAC-DONG'!Z44</f>
        <v>0</v>
      </c>
      <c r="I35" s="12">
        <f>+'[1]ATAC-DONG'!AG44</f>
        <v>28.633333333333333</v>
      </c>
      <c r="J35" s="13">
        <f>+'[1]ATAC-DONG'!AH44</f>
        <v>8</v>
      </c>
      <c r="K35" s="12">
        <v>48.63333333333334</v>
      </c>
      <c r="L35" s="13">
        <v>6</v>
      </c>
      <c r="M35" s="12">
        <v>138.26666666666665</v>
      </c>
      <c r="N35" s="13">
        <v>8</v>
      </c>
      <c r="O35" s="12">
        <v>139.56666666666666</v>
      </c>
      <c r="P35" s="13">
        <v>7</v>
      </c>
      <c r="Q35" s="12">
        <v>91.63333333333334</v>
      </c>
      <c r="R35" s="13">
        <v>6</v>
      </c>
      <c r="S35" s="12">
        <v>196.36666666666665</v>
      </c>
      <c r="T35" s="13">
        <v>11</v>
      </c>
      <c r="U35" s="12">
        <v>94.933333333333337</v>
      </c>
      <c r="V35" s="13">
        <v>8</v>
      </c>
      <c r="W35" s="12">
        <v>0</v>
      </c>
      <c r="X35" s="13">
        <v>0</v>
      </c>
      <c r="Y35" s="12">
        <v>0</v>
      </c>
      <c r="Z35" s="13">
        <v>0</v>
      </c>
      <c r="AA35" s="14">
        <v>738.0333333333333</v>
      </c>
      <c r="AB35" s="15">
        <v>54</v>
      </c>
    </row>
    <row r="36" spans="1:28" ht="19.5" customHeight="1" x14ac:dyDescent="0.35">
      <c r="A36" s="16" t="s">
        <v>48</v>
      </c>
      <c r="B36" s="16"/>
      <c r="C36" s="17">
        <f>+'[1]ATAC-DONG'!I48</f>
        <v>0</v>
      </c>
      <c r="D36" s="17">
        <f>+'[1]ATAC-DONG'!J48</f>
        <v>0</v>
      </c>
      <c r="E36" s="17">
        <f>'[1]ATAC-DONG'!Q48</f>
        <v>0</v>
      </c>
      <c r="F36" s="17">
        <f>+'[1]ATAC-DONG'!R48</f>
        <v>0</v>
      </c>
      <c r="G36" s="17">
        <f>+'[1]ATAC-DONG'!Y48</f>
        <v>5.5666666666666664</v>
      </c>
      <c r="H36" s="17">
        <f>+'[1]ATAC-DONG'!Z48</f>
        <v>3</v>
      </c>
      <c r="I36" s="17">
        <f>+'[1]ATAC-DONG'!AG48</f>
        <v>32.687651515151515</v>
      </c>
      <c r="J36" s="17">
        <f>+'[1]ATAC-DONG'!AH48</f>
        <v>6</v>
      </c>
      <c r="K36" s="17">
        <v>75.366666666666674</v>
      </c>
      <c r="L36" s="17">
        <v>5</v>
      </c>
      <c r="M36" s="17">
        <v>140.51499999999999</v>
      </c>
      <c r="N36" s="17">
        <v>8</v>
      </c>
      <c r="O36" s="17">
        <v>177.68583333333333</v>
      </c>
      <c r="P36" s="17">
        <v>9</v>
      </c>
      <c r="Q36" s="17">
        <v>135.53257575757576</v>
      </c>
      <c r="R36" s="17">
        <v>7</v>
      </c>
      <c r="S36" s="17">
        <v>166.63333333333333</v>
      </c>
      <c r="T36" s="17">
        <v>11</v>
      </c>
      <c r="U36" s="17">
        <v>99.833333333333329</v>
      </c>
      <c r="V36" s="17">
        <v>8</v>
      </c>
      <c r="W36" s="17">
        <v>0</v>
      </c>
      <c r="X36" s="17">
        <v>0</v>
      </c>
      <c r="Y36" s="17">
        <v>0</v>
      </c>
      <c r="Z36" s="17">
        <v>0</v>
      </c>
      <c r="AA36" s="17">
        <v>833.82106060606066</v>
      </c>
      <c r="AB36" s="17">
        <v>57</v>
      </c>
    </row>
    <row r="37" spans="1:28" ht="19.5" customHeight="1" x14ac:dyDescent="0.35">
      <c r="A37" s="16" t="s">
        <v>49</v>
      </c>
      <c r="B37" s="16"/>
      <c r="C37" s="17">
        <f>+'[1]ATAC-DONG'!I49</f>
        <v>0</v>
      </c>
      <c r="D37" s="17">
        <f>+'[1]ATAC-DONG'!J49</f>
        <v>0</v>
      </c>
      <c r="E37" s="17">
        <f>'[1]ATAC-DONG'!Q49</f>
        <v>0.14444444444444443</v>
      </c>
      <c r="F37" s="17">
        <f>+'[1]ATAC-DONG'!R49</f>
        <v>1</v>
      </c>
      <c r="G37" s="17">
        <f>+'[1]ATAC-DONG'!Y49</f>
        <v>3.2508547008547009</v>
      </c>
      <c r="H37" s="17">
        <f>+'[1]ATAC-DONG'!Z49</f>
        <v>3</v>
      </c>
      <c r="I37" s="17">
        <f>+'[1]ATAC-DONG'!AG49</f>
        <v>28.500883190883187</v>
      </c>
      <c r="J37" s="17">
        <f>+'[1]ATAC-DONG'!AH49</f>
        <v>3</v>
      </c>
      <c r="K37" s="17">
        <v>111.44074074074074</v>
      </c>
      <c r="L37" s="17">
        <v>7</v>
      </c>
      <c r="M37" s="17">
        <v>151.39925925925925</v>
      </c>
      <c r="N37" s="17">
        <v>9</v>
      </c>
      <c r="O37" s="17">
        <v>182.35555555555558</v>
      </c>
      <c r="P37" s="17">
        <v>8</v>
      </c>
      <c r="Q37" s="17">
        <v>160.25575498575495</v>
      </c>
      <c r="R37" s="17">
        <v>9</v>
      </c>
      <c r="S37" s="17">
        <v>195.76666666666668</v>
      </c>
      <c r="T37" s="17">
        <v>13</v>
      </c>
      <c r="U37" s="17">
        <v>157.95555555555558</v>
      </c>
      <c r="V37" s="17">
        <v>9</v>
      </c>
      <c r="W37" s="17">
        <v>0</v>
      </c>
      <c r="X37" s="17">
        <v>0</v>
      </c>
      <c r="Y37" s="17">
        <v>0</v>
      </c>
      <c r="Z37" s="17">
        <v>0</v>
      </c>
      <c r="AA37" s="17">
        <v>991.06971509971504</v>
      </c>
      <c r="AB37" s="17">
        <v>62</v>
      </c>
    </row>
    <row r="38" spans="1:28" x14ac:dyDescent="0.35">
      <c r="A38" s="10">
        <v>28</v>
      </c>
      <c r="B38" s="11" t="s">
        <v>50</v>
      </c>
      <c r="C38" s="12">
        <f>+'[1]ZOU-COLL'!I10</f>
        <v>0</v>
      </c>
      <c r="D38" s="13">
        <f>+'[1]ZOU-COLL'!J10</f>
        <v>0</v>
      </c>
      <c r="E38" s="14">
        <f>+'[1]ZOU-COLL'!Q10</f>
        <v>11.666666666666668</v>
      </c>
      <c r="F38" s="15">
        <f>+'[1]ZOU-COLL'!R10</f>
        <v>2</v>
      </c>
      <c r="G38" s="14">
        <f>+'[1]ZOU-COLL'!Y10</f>
        <v>56</v>
      </c>
      <c r="H38" s="15">
        <f>+'[1]ZOU-COLL'!Z10</f>
        <v>3</v>
      </c>
      <c r="I38" s="12">
        <f>+'[1]ZOU-COLL'!AG10</f>
        <v>71</v>
      </c>
      <c r="J38" s="13">
        <f>+'[1]ZOU-COLL'!AH10</f>
        <v>5</v>
      </c>
      <c r="K38" s="12">
        <v>71</v>
      </c>
      <c r="L38" s="13">
        <v>5</v>
      </c>
      <c r="M38" s="12">
        <v>134</v>
      </c>
      <c r="N38" s="13">
        <v>7</v>
      </c>
      <c r="O38" s="12">
        <v>6.333333333333333</v>
      </c>
      <c r="P38" s="13">
        <v>1</v>
      </c>
      <c r="Q38" s="12">
        <v>108</v>
      </c>
      <c r="R38" s="13">
        <v>5</v>
      </c>
      <c r="S38" s="12">
        <v>117.83333333333334</v>
      </c>
      <c r="T38" s="13">
        <v>8</v>
      </c>
      <c r="U38" s="12">
        <v>111.33333333333333</v>
      </c>
      <c r="V38" s="13">
        <v>10</v>
      </c>
      <c r="W38" s="12">
        <v>2.3333333333333335</v>
      </c>
      <c r="X38" s="13">
        <v>1</v>
      </c>
      <c r="Y38" s="12">
        <v>0</v>
      </c>
      <c r="Z38" s="13">
        <v>0</v>
      </c>
      <c r="AA38" s="14">
        <v>689.50000000000011</v>
      </c>
      <c r="AB38" s="15">
        <v>47</v>
      </c>
    </row>
    <row r="39" spans="1:28" x14ac:dyDescent="0.35">
      <c r="A39" s="10">
        <v>29</v>
      </c>
      <c r="B39" s="11" t="s">
        <v>51</v>
      </c>
      <c r="C39" s="12">
        <f>+'[1]ZOU-COLL'!I14</f>
        <v>0</v>
      </c>
      <c r="D39" s="13">
        <f>+'[1]ZOU-COLL'!J14</f>
        <v>0</v>
      </c>
      <c r="E39" s="14">
        <f>+'[1]ZOU-COLL'!Q14</f>
        <v>0</v>
      </c>
      <c r="F39" s="15">
        <f>+'[1]ZOU-COLL'!R14</f>
        <v>0</v>
      </c>
      <c r="G39" s="14">
        <f>+'[1]ZOU-COLL'!Y14</f>
        <v>69.666666666666671</v>
      </c>
      <c r="H39" s="15">
        <f>+'[1]ZOU-COLL'!Z14</f>
        <v>5</v>
      </c>
      <c r="I39" s="12">
        <f>+'[1]ZOU-COLL'!AG14</f>
        <v>82.00333333333333</v>
      </c>
      <c r="J39" s="13">
        <f>+'[1]ZOU-COLL'!AH14</f>
        <v>4</v>
      </c>
      <c r="K39" s="12">
        <v>82.00333333333333</v>
      </c>
      <c r="L39" s="13">
        <v>4</v>
      </c>
      <c r="M39" s="12">
        <v>168.66666666666669</v>
      </c>
      <c r="N39" s="13">
        <v>6</v>
      </c>
      <c r="O39" s="12">
        <v>29.666666666666664</v>
      </c>
      <c r="P39" s="13">
        <v>2</v>
      </c>
      <c r="Q39" s="12">
        <v>118.16666666666667</v>
      </c>
      <c r="R39" s="13">
        <v>4</v>
      </c>
      <c r="S39" s="12">
        <v>166.96666666666664</v>
      </c>
      <c r="T39" s="13">
        <v>8</v>
      </c>
      <c r="U39" s="12">
        <v>149</v>
      </c>
      <c r="V39" s="13">
        <v>10</v>
      </c>
      <c r="W39" s="12">
        <v>14.29</v>
      </c>
      <c r="X39" s="13">
        <v>1</v>
      </c>
      <c r="Y39" s="12">
        <v>0</v>
      </c>
      <c r="Z39" s="13">
        <v>0</v>
      </c>
      <c r="AA39" s="14">
        <v>880.43000000000006</v>
      </c>
      <c r="AB39" s="15">
        <v>44</v>
      </c>
    </row>
    <row r="40" spans="1:28" x14ac:dyDescent="0.35">
      <c r="A40" s="10">
        <v>30</v>
      </c>
      <c r="B40" s="11" t="s">
        <v>52</v>
      </c>
      <c r="C40" s="12">
        <f>+'[1]ZOU-COLL'!I18</f>
        <v>0</v>
      </c>
      <c r="D40" s="13">
        <f>+'[1]ZOU-COLL'!J18</f>
        <v>0</v>
      </c>
      <c r="E40" s="14">
        <f>+'[1]ZOU-COLL'!Q18</f>
        <v>0</v>
      </c>
      <c r="F40" s="15">
        <f>+'[1]ZOU-COLL'!R18</f>
        <v>0</v>
      </c>
      <c r="G40" s="14">
        <f>+'[1]ZOU-COLL'!Y18</f>
        <v>68.666666666666671</v>
      </c>
      <c r="H40" s="15">
        <f>+'[1]ZOU-COLL'!Z18</f>
        <v>4</v>
      </c>
      <c r="I40" s="12">
        <f>+'[1]ZOU-COLL'!AG18</f>
        <v>80.2</v>
      </c>
      <c r="J40" s="13">
        <f>+'[1]ZOU-COLL'!AH18</f>
        <v>5</v>
      </c>
      <c r="K40" s="12">
        <v>80.2</v>
      </c>
      <c r="L40" s="13">
        <v>5</v>
      </c>
      <c r="M40" s="12">
        <v>248.36666666666667</v>
      </c>
      <c r="N40" s="13">
        <v>9</v>
      </c>
      <c r="O40" s="12">
        <v>12.466666666666665</v>
      </c>
      <c r="P40" s="13">
        <v>2</v>
      </c>
      <c r="Q40" s="12">
        <v>115.1</v>
      </c>
      <c r="R40" s="13">
        <v>7</v>
      </c>
      <c r="S40" s="12">
        <v>204.36666666666667</v>
      </c>
      <c r="T40" s="13">
        <v>10</v>
      </c>
      <c r="U40" s="12">
        <v>159.33333333333334</v>
      </c>
      <c r="V40" s="13">
        <v>11</v>
      </c>
      <c r="W40" s="12">
        <v>0</v>
      </c>
      <c r="X40" s="13">
        <v>0</v>
      </c>
      <c r="Y40" s="12">
        <v>0</v>
      </c>
      <c r="Z40" s="13">
        <v>0</v>
      </c>
      <c r="AA40" s="14">
        <v>968.7</v>
      </c>
      <c r="AB40" s="15">
        <v>53</v>
      </c>
    </row>
    <row r="41" spans="1:28" x14ac:dyDescent="0.35">
      <c r="A41" s="10">
        <v>31</v>
      </c>
      <c r="B41" s="11" t="s">
        <v>53</v>
      </c>
      <c r="C41" s="12">
        <f>+'[1]ZOU-COLL'!I22</f>
        <v>0</v>
      </c>
      <c r="D41" s="13">
        <f>+'[1]ZOU-COLL'!J22</f>
        <v>0</v>
      </c>
      <c r="E41" s="14">
        <f>+'[1]ZOU-COLL'!Q22</f>
        <v>0</v>
      </c>
      <c r="F41" s="15">
        <f>+'[1]ZOU-COLL'!R22</f>
        <v>0</v>
      </c>
      <c r="G41" s="14">
        <f>+'[1]ZOU-COLL'!Y22</f>
        <v>73.333333333333329</v>
      </c>
      <c r="H41" s="15">
        <f>+'[1]ZOU-COLL'!Z22</f>
        <v>4</v>
      </c>
      <c r="I41" s="12">
        <f>+'[1]ZOU-COLL'!AG22</f>
        <v>53.833333333333343</v>
      </c>
      <c r="J41" s="13">
        <f>+'[1]ZOU-COLL'!AH22</f>
        <v>5</v>
      </c>
      <c r="K41" s="12">
        <v>53.833333333333343</v>
      </c>
      <c r="L41" s="13">
        <v>5</v>
      </c>
      <c r="M41" s="12">
        <v>285.16666666666669</v>
      </c>
      <c r="N41" s="13">
        <v>8</v>
      </c>
      <c r="O41" s="12">
        <v>5.6666666666666661</v>
      </c>
      <c r="P41" s="13">
        <v>2</v>
      </c>
      <c r="Q41" s="12">
        <v>131.5</v>
      </c>
      <c r="R41" s="13">
        <v>7</v>
      </c>
      <c r="S41" s="12">
        <v>107.33333333333334</v>
      </c>
      <c r="T41" s="13">
        <v>7</v>
      </c>
      <c r="U41" s="12">
        <v>139.63333333333333</v>
      </c>
      <c r="V41" s="13">
        <v>11</v>
      </c>
      <c r="W41" s="12">
        <v>15.666666666666666</v>
      </c>
      <c r="X41" s="13">
        <v>3</v>
      </c>
      <c r="Y41" s="12">
        <v>0</v>
      </c>
      <c r="Z41" s="13">
        <v>0</v>
      </c>
      <c r="AA41" s="14">
        <v>865.9666666666667</v>
      </c>
      <c r="AB41" s="15">
        <v>52</v>
      </c>
    </row>
    <row r="42" spans="1:28" x14ac:dyDescent="0.35">
      <c r="A42" s="10">
        <v>32</v>
      </c>
      <c r="B42" s="11" t="s">
        <v>54</v>
      </c>
      <c r="C42" s="12">
        <f>+'[1]ZOU-COLL'!I28</f>
        <v>0</v>
      </c>
      <c r="D42" s="13">
        <f>+'[1]ZOU-COLL'!J28</f>
        <v>0</v>
      </c>
      <c r="E42" s="14">
        <f>+'[1]ZOU-COLL'!Q28</f>
        <v>8.16</v>
      </c>
      <c r="F42" s="15">
        <f>+'[1]ZOU-COLL'!R28</f>
        <v>1</v>
      </c>
      <c r="G42" s="14">
        <f>+'[1]ZOU-COLL'!Y28</f>
        <v>70.8</v>
      </c>
      <c r="H42" s="15">
        <f>+'[1]ZOU-COLL'!Z28</f>
        <v>5</v>
      </c>
      <c r="I42" s="12">
        <f>+'[1]ZOU-COLL'!AG28</f>
        <v>119.96</v>
      </c>
      <c r="J42" s="13">
        <f>+'[1]ZOU-COLL'!AH28</f>
        <v>8</v>
      </c>
      <c r="K42" s="12">
        <v>119.96</v>
      </c>
      <c r="L42" s="13">
        <v>8</v>
      </c>
      <c r="M42" s="12">
        <v>194.16</v>
      </c>
      <c r="N42" s="13">
        <v>9</v>
      </c>
      <c r="O42" s="12">
        <v>7.6</v>
      </c>
      <c r="P42" s="13">
        <v>2</v>
      </c>
      <c r="Q42" s="12">
        <v>88.56</v>
      </c>
      <c r="R42" s="13">
        <v>5</v>
      </c>
      <c r="S42" s="12">
        <v>126.94</v>
      </c>
      <c r="T42" s="13">
        <v>8</v>
      </c>
      <c r="U42" s="12">
        <v>109.69999999999999</v>
      </c>
      <c r="V42" s="13">
        <v>10</v>
      </c>
      <c r="W42" s="12">
        <v>0</v>
      </c>
      <c r="X42" s="13">
        <v>0</v>
      </c>
      <c r="Y42" s="12">
        <v>0</v>
      </c>
      <c r="Z42" s="13">
        <v>0</v>
      </c>
      <c r="AA42" s="14">
        <v>845.84000000000015</v>
      </c>
      <c r="AB42" s="15">
        <v>56</v>
      </c>
    </row>
    <row r="43" spans="1:28" x14ac:dyDescent="0.35">
      <c r="A43" s="10">
        <v>33</v>
      </c>
      <c r="B43" s="11" t="s">
        <v>55</v>
      </c>
      <c r="C43" s="12">
        <f>+'[1]ZOU-COLL'!I33</f>
        <v>0</v>
      </c>
      <c r="D43" s="13">
        <f>+'[1]ZOU-COLL'!J33</f>
        <v>0</v>
      </c>
      <c r="E43" s="14">
        <f>+'[1]ZOU-COLL'!Q33</f>
        <v>0</v>
      </c>
      <c r="F43" s="15">
        <f>+'[1]ZOU-COLL'!R33</f>
        <v>0</v>
      </c>
      <c r="G43" s="14">
        <f>+'[1]ZOU-COLL'!Y33</f>
        <v>54.1</v>
      </c>
      <c r="H43" s="15">
        <f>+'[1]ZOU-COLL'!Z33</f>
        <v>4</v>
      </c>
      <c r="I43" s="12">
        <f>+'[1]ZOU-COLL'!AG33</f>
        <v>93.9</v>
      </c>
      <c r="J43" s="13">
        <f>+'[1]ZOU-COLL'!AH33</f>
        <v>5</v>
      </c>
      <c r="K43" s="12">
        <v>93.9</v>
      </c>
      <c r="L43" s="13">
        <v>5</v>
      </c>
      <c r="M43" s="12">
        <v>128.02500000000001</v>
      </c>
      <c r="N43" s="13">
        <v>8</v>
      </c>
      <c r="O43" s="12">
        <v>2</v>
      </c>
      <c r="P43" s="13">
        <v>1</v>
      </c>
      <c r="Q43" s="12">
        <v>119.6</v>
      </c>
      <c r="R43" s="13">
        <v>6</v>
      </c>
      <c r="S43" s="12">
        <v>111.875</v>
      </c>
      <c r="T43" s="13">
        <v>8</v>
      </c>
      <c r="U43" s="12">
        <v>197</v>
      </c>
      <c r="V43" s="13">
        <v>12</v>
      </c>
      <c r="W43" s="12">
        <v>4.875</v>
      </c>
      <c r="X43" s="13">
        <v>1</v>
      </c>
      <c r="Y43" s="12">
        <v>0</v>
      </c>
      <c r="Z43" s="13">
        <v>0</v>
      </c>
      <c r="AA43" s="14">
        <v>805.27499999999998</v>
      </c>
      <c r="AB43" s="15">
        <v>50</v>
      </c>
    </row>
    <row r="44" spans="1:28" x14ac:dyDescent="0.35">
      <c r="A44" s="10">
        <v>34</v>
      </c>
      <c r="B44" s="11" t="s">
        <v>56</v>
      </c>
      <c r="C44" s="12">
        <f>+'[1]ZOU-COLL'!I38</f>
        <v>0</v>
      </c>
      <c r="D44" s="13">
        <f>+'[1]ZOU-COLL'!J38</f>
        <v>0</v>
      </c>
      <c r="E44" s="14">
        <f>+'[1]ZOU-COLL'!Q38</f>
        <v>0</v>
      </c>
      <c r="F44" s="15">
        <f>+'[1]ZOU-COLL'!R38</f>
        <v>0</v>
      </c>
      <c r="G44" s="14">
        <f>+'[1]ZOU-COLL'!Y38</f>
        <v>72.375</v>
      </c>
      <c r="H44" s="15">
        <f>+'[1]ZOU-COLL'!Z38</f>
        <v>4</v>
      </c>
      <c r="I44" s="12">
        <f>+'[1]ZOU-COLL'!AG38</f>
        <v>99.25</v>
      </c>
      <c r="J44" s="13">
        <f>+'[1]ZOU-COLL'!AH38</f>
        <v>7</v>
      </c>
      <c r="K44" s="12">
        <v>99.25</v>
      </c>
      <c r="L44" s="13">
        <v>7</v>
      </c>
      <c r="M44" s="12">
        <v>189</v>
      </c>
      <c r="N44" s="13">
        <v>9</v>
      </c>
      <c r="O44" s="12">
        <v>13.25</v>
      </c>
      <c r="P44" s="13">
        <v>2</v>
      </c>
      <c r="Q44" s="12">
        <v>120.25</v>
      </c>
      <c r="R44" s="13">
        <v>7</v>
      </c>
      <c r="S44" s="12">
        <v>117.575</v>
      </c>
      <c r="T44" s="13">
        <v>7</v>
      </c>
      <c r="U44" s="12">
        <v>123.875</v>
      </c>
      <c r="V44" s="13">
        <v>11</v>
      </c>
      <c r="W44" s="12">
        <v>0</v>
      </c>
      <c r="X44" s="13">
        <v>0</v>
      </c>
      <c r="Y44" s="12">
        <v>0</v>
      </c>
      <c r="Z44" s="13">
        <v>0</v>
      </c>
      <c r="AA44" s="14">
        <v>834.82500000000005</v>
      </c>
      <c r="AB44" s="15">
        <v>54</v>
      </c>
    </row>
    <row r="45" spans="1:28" x14ac:dyDescent="0.35">
      <c r="A45" s="10">
        <v>35</v>
      </c>
      <c r="B45" s="11" t="s">
        <v>57</v>
      </c>
      <c r="C45" s="12">
        <f>+'[1]ZOU-COLL'!I42</f>
        <v>0</v>
      </c>
      <c r="D45" s="13">
        <f>+'[1]ZOU-COLL'!J42</f>
        <v>0</v>
      </c>
      <c r="E45" s="14">
        <f>+'[1]ZOU-COLL'!Q42</f>
        <v>0</v>
      </c>
      <c r="F45" s="15">
        <f>+'[1]ZOU-COLL'!R42</f>
        <v>0</v>
      </c>
      <c r="G45" s="14">
        <f>+'[1]ZOU-COLL'!Y42</f>
        <v>71.666666666666657</v>
      </c>
      <c r="H45" s="15">
        <f>+'[1]ZOU-COLL'!Z42</f>
        <v>3</v>
      </c>
      <c r="I45" s="12">
        <f>+'[1]ZOU-COLL'!AG42</f>
        <v>108.66666666666666</v>
      </c>
      <c r="J45" s="13">
        <f>+'[1]ZOU-COLL'!AH42</f>
        <v>6</v>
      </c>
      <c r="K45" s="12">
        <v>108.66666666666666</v>
      </c>
      <c r="L45" s="13">
        <v>6</v>
      </c>
      <c r="M45" s="12">
        <v>299.66666666666663</v>
      </c>
      <c r="N45" s="13">
        <v>9</v>
      </c>
      <c r="O45" s="12">
        <v>6.333333333333333</v>
      </c>
      <c r="P45" s="13">
        <v>1</v>
      </c>
      <c r="Q45" s="12">
        <v>182</v>
      </c>
      <c r="R45" s="13">
        <v>7</v>
      </c>
      <c r="S45" s="12">
        <v>139</v>
      </c>
      <c r="T45" s="13">
        <v>9</v>
      </c>
      <c r="U45" s="12">
        <v>134.13333333333333</v>
      </c>
      <c r="V45" s="13">
        <v>9</v>
      </c>
      <c r="W45" s="12">
        <v>16.666666666666668</v>
      </c>
      <c r="X45" s="13">
        <v>1</v>
      </c>
      <c r="Y45" s="12">
        <v>0</v>
      </c>
      <c r="Z45" s="13">
        <v>0</v>
      </c>
      <c r="AA45" s="14">
        <v>1066.8</v>
      </c>
      <c r="AB45" s="15">
        <v>51</v>
      </c>
    </row>
    <row r="46" spans="1:28" x14ac:dyDescent="0.35">
      <c r="A46" s="10">
        <v>36</v>
      </c>
      <c r="B46" s="11" t="s">
        <v>58</v>
      </c>
      <c r="C46" s="12">
        <f>+'[1]ZOU-COLL'!I47</f>
        <v>0</v>
      </c>
      <c r="D46" s="13">
        <f>+'[1]ZOU-COLL'!J47</f>
        <v>0</v>
      </c>
      <c r="E46" s="14">
        <f>+'[1]ZOU-COLL'!Q47</f>
        <v>4.75</v>
      </c>
      <c r="F46" s="15">
        <f>+'[1]ZOU-COLL'!R47</f>
        <v>1</v>
      </c>
      <c r="G46" s="14">
        <f>+'[1]ZOU-COLL'!Y47</f>
        <v>55.25</v>
      </c>
      <c r="H46" s="15">
        <f>+'[1]ZOU-COLL'!Z47</f>
        <v>3</v>
      </c>
      <c r="I46" s="12">
        <f>+'[1]ZOU-COLL'!AG47</f>
        <v>101.7</v>
      </c>
      <c r="J46" s="13">
        <f>+'[1]ZOU-COLL'!AH47</f>
        <v>6</v>
      </c>
      <c r="K46" s="12">
        <v>101.7</v>
      </c>
      <c r="L46" s="13">
        <v>6</v>
      </c>
      <c r="M46" s="12">
        <v>302.82499999999999</v>
      </c>
      <c r="N46" s="13">
        <v>9</v>
      </c>
      <c r="O46" s="12">
        <v>33.625</v>
      </c>
      <c r="P46" s="13">
        <v>3</v>
      </c>
      <c r="Q46" s="12">
        <v>120.02500000000001</v>
      </c>
      <c r="R46" s="13">
        <v>6</v>
      </c>
      <c r="S46" s="12">
        <v>195.375</v>
      </c>
      <c r="T46" s="13">
        <v>9</v>
      </c>
      <c r="U46" s="12">
        <v>208.42500000000001</v>
      </c>
      <c r="V46" s="13">
        <v>10</v>
      </c>
      <c r="W46" s="12">
        <v>14.25</v>
      </c>
      <c r="X46" s="13">
        <v>1</v>
      </c>
      <c r="Y46" s="12">
        <v>0</v>
      </c>
      <c r="Z46" s="13">
        <v>0</v>
      </c>
      <c r="AA46" s="14">
        <v>1137.925</v>
      </c>
      <c r="AB46" s="15">
        <v>54</v>
      </c>
    </row>
    <row r="47" spans="1:28" ht="20.25" customHeight="1" x14ac:dyDescent="0.35">
      <c r="A47" s="16" t="s">
        <v>59</v>
      </c>
      <c r="B47" s="16"/>
      <c r="C47" s="17">
        <f>+'[1]ZOU-COLL'!I48</f>
        <v>0</v>
      </c>
      <c r="D47" s="17">
        <f>+'[1]ZOU-COLL'!J48</f>
        <v>0</v>
      </c>
      <c r="E47" s="17">
        <f>+'[1]ZOU-COLL'!Q48</f>
        <v>3.3857142857142852</v>
      </c>
      <c r="F47" s="17">
        <f>+'[1]ZOU-COLL'!R48</f>
        <v>2</v>
      </c>
      <c r="G47" s="17">
        <f>+'[1]ZOU-COLL'!Y48</f>
        <v>64.710714285714289</v>
      </c>
      <c r="H47" s="17">
        <f>+'[1]ZOU-COLL'!Z48</f>
        <v>5</v>
      </c>
      <c r="I47" s="17">
        <f>+'[1]ZOU-COLL'!AG48</f>
        <v>91.046785714285704</v>
      </c>
      <c r="J47" s="17">
        <f>+'[1]ZOU-COLL'!AH48</f>
        <v>6</v>
      </c>
      <c r="K47" s="17">
        <v>91.046785714285704</v>
      </c>
      <c r="L47" s="17">
        <v>6</v>
      </c>
      <c r="M47" s="17">
        <v>205.42142857142855</v>
      </c>
      <c r="N47" s="17">
        <v>8</v>
      </c>
      <c r="O47" s="17">
        <v>13.49642857142857</v>
      </c>
      <c r="P47" s="17">
        <v>2</v>
      </c>
      <c r="Q47" s="17">
        <v>113.55714285714285</v>
      </c>
      <c r="R47" s="17">
        <v>6</v>
      </c>
      <c r="S47" s="17">
        <v>142.73214285714286</v>
      </c>
      <c r="T47" s="17">
        <v>9</v>
      </c>
      <c r="U47" s="17">
        <v>151.07499999999999</v>
      </c>
      <c r="V47" s="17">
        <v>11</v>
      </c>
      <c r="W47" s="17">
        <v>6.1917857142857144</v>
      </c>
      <c r="X47" s="17">
        <v>2</v>
      </c>
      <c r="Y47" s="17">
        <v>0</v>
      </c>
      <c r="Z47" s="17">
        <v>0</v>
      </c>
      <c r="AA47" s="17">
        <v>882.66392857142864</v>
      </c>
      <c r="AB47" s="17">
        <v>57</v>
      </c>
    </row>
    <row r="48" spans="1:28" x14ac:dyDescent="0.35">
      <c r="A48" s="10">
        <v>37</v>
      </c>
      <c r="B48" s="11" t="s">
        <v>60</v>
      </c>
      <c r="C48" s="12">
        <f>+'[1]ZOU-COLL'!I55</f>
        <v>0</v>
      </c>
      <c r="D48" s="13">
        <f>+'[1]ZOU-COLL'!J55</f>
        <v>0</v>
      </c>
      <c r="E48" s="14">
        <f>+'[1]ZOU-COLL'!Q55</f>
        <v>0.5</v>
      </c>
      <c r="F48" s="15">
        <f>+'[1]ZOU-COLL'!R55</f>
        <v>1</v>
      </c>
      <c r="G48" s="14">
        <f>+'[1]ZOU-COLL'!Y55</f>
        <v>28.416666666666668</v>
      </c>
      <c r="H48" s="15">
        <f>+'[1]ZOU-COLL'!Z55</f>
        <v>2</v>
      </c>
      <c r="I48" s="12">
        <f>+'[1]ZOU-COLL'!AG55</f>
        <v>102.18333333333334</v>
      </c>
      <c r="J48" s="13">
        <f>+'[1]ZOU-COLL'!AH55</f>
        <v>5</v>
      </c>
      <c r="K48" s="12">
        <v>102.18333333333334</v>
      </c>
      <c r="L48" s="13">
        <v>5</v>
      </c>
      <c r="M48" s="12">
        <v>89.083333333333343</v>
      </c>
      <c r="N48" s="13">
        <v>4</v>
      </c>
      <c r="O48" s="12">
        <v>256.89666666666665</v>
      </c>
      <c r="P48" s="13">
        <v>9</v>
      </c>
      <c r="Q48" s="12">
        <v>228.49166666666667</v>
      </c>
      <c r="R48" s="13">
        <v>8</v>
      </c>
      <c r="S48" s="12">
        <v>306.71333333333337</v>
      </c>
      <c r="T48" s="13">
        <v>9</v>
      </c>
      <c r="U48" s="12">
        <v>256.81333333333333</v>
      </c>
      <c r="V48" s="13">
        <v>10</v>
      </c>
      <c r="W48" s="12">
        <v>0</v>
      </c>
      <c r="X48" s="13">
        <v>0</v>
      </c>
      <c r="Y48" s="12">
        <v>0</v>
      </c>
      <c r="Z48" s="13">
        <v>0</v>
      </c>
      <c r="AA48" s="14">
        <v>1371.2816666666665</v>
      </c>
      <c r="AB48" s="15">
        <v>53</v>
      </c>
    </row>
    <row r="49" spans="1:28" x14ac:dyDescent="0.35">
      <c r="A49" s="10">
        <v>38</v>
      </c>
      <c r="B49" s="11" t="s">
        <v>61</v>
      </c>
      <c r="C49" s="12">
        <f>+'[1]ZOU-COLL'!I61</f>
        <v>0</v>
      </c>
      <c r="D49" s="13">
        <f>+'[1]ZOU-COLL'!J61</f>
        <v>0</v>
      </c>
      <c r="E49" s="14">
        <f>+'[1]ZOU-COLL'!Q61</f>
        <v>50.540000000000006</v>
      </c>
      <c r="F49" s="15">
        <f>+'[1]ZOU-COLL'!R61</f>
        <v>2</v>
      </c>
      <c r="G49" s="14">
        <f>+'[1]ZOU-COLL'!Y61</f>
        <v>38.1</v>
      </c>
      <c r="H49" s="15">
        <f>+'[1]ZOU-COLL'!Z61</f>
        <v>3</v>
      </c>
      <c r="I49" s="12">
        <f>+'[1]ZOU-COLL'!AG61</f>
        <v>86.66</v>
      </c>
      <c r="J49" s="13">
        <f>+'[1]ZOU-COLL'!AH61</f>
        <v>7</v>
      </c>
      <c r="K49" s="12">
        <v>86.66</v>
      </c>
      <c r="L49" s="13">
        <v>7</v>
      </c>
      <c r="M49" s="12">
        <v>173.76000000000002</v>
      </c>
      <c r="N49" s="13">
        <v>6</v>
      </c>
      <c r="O49" s="12">
        <v>137.39000000000001</v>
      </c>
      <c r="P49" s="13">
        <v>5</v>
      </c>
      <c r="Q49" s="12">
        <v>113.86000000000001</v>
      </c>
      <c r="R49" s="13">
        <v>6</v>
      </c>
      <c r="S49" s="12">
        <v>126.49</v>
      </c>
      <c r="T49" s="13">
        <v>6</v>
      </c>
      <c r="U49" s="12">
        <v>332.24999999999994</v>
      </c>
      <c r="V49" s="13">
        <v>12</v>
      </c>
      <c r="W49" s="12">
        <v>0</v>
      </c>
      <c r="X49" s="13">
        <v>0</v>
      </c>
      <c r="Y49" s="12">
        <v>0</v>
      </c>
      <c r="Z49" s="13">
        <v>0</v>
      </c>
      <c r="AA49" s="14">
        <v>1145.71</v>
      </c>
      <c r="AB49" s="15">
        <v>54</v>
      </c>
    </row>
    <row r="50" spans="1:28" ht="15" customHeight="1" x14ac:dyDescent="0.35">
      <c r="A50" s="10">
        <v>39</v>
      </c>
      <c r="B50" s="11" t="s">
        <v>62</v>
      </c>
      <c r="C50" s="12">
        <f>+'[1]ZOU-COLL'!I69</f>
        <v>0</v>
      </c>
      <c r="D50" s="13">
        <f>+'[1]ZOU-COLL'!J69</f>
        <v>0</v>
      </c>
      <c r="E50" s="14">
        <f>+'[1]ZOU-COLL'!Q69</f>
        <v>8.4285714285714288</v>
      </c>
      <c r="F50" s="15">
        <f>+'[1]ZOU-COLL'!R69</f>
        <v>1</v>
      </c>
      <c r="G50" s="14">
        <f>+'[1]ZOU-COLL'!Y69</f>
        <v>16.434285714285714</v>
      </c>
      <c r="H50" s="15">
        <f>+'[1]ZOU-COLL'!Z69</f>
        <v>1</v>
      </c>
      <c r="I50" s="12">
        <f>+'[1]ZOU-COLL'!AG69</f>
        <v>103.18142857142857</v>
      </c>
      <c r="J50" s="13">
        <f>+'[1]ZOU-COLL'!AH69</f>
        <v>4</v>
      </c>
      <c r="K50" s="12">
        <v>103.18142857142857</v>
      </c>
      <c r="L50" s="13">
        <v>4</v>
      </c>
      <c r="M50" s="12">
        <v>99.57714285714286</v>
      </c>
      <c r="N50" s="13">
        <v>4</v>
      </c>
      <c r="O50" s="12">
        <v>92.478571428571428</v>
      </c>
      <c r="P50" s="13">
        <v>4</v>
      </c>
      <c r="Q50" s="12">
        <v>132.25</v>
      </c>
      <c r="R50" s="13">
        <v>7</v>
      </c>
      <c r="S50" s="12">
        <v>136.79142857142855</v>
      </c>
      <c r="T50" s="13">
        <v>6</v>
      </c>
      <c r="U50" s="12">
        <v>278.43428571428569</v>
      </c>
      <c r="V50" s="13">
        <v>11</v>
      </c>
      <c r="W50" s="12">
        <v>0</v>
      </c>
      <c r="X50" s="13">
        <v>0</v>
      </c>
      <c r="Y50" s="12">
        <v>0</v>
      </c>
      <c r="Z50" s="13">
        <v>0</v>
      </c>
      <c r="AA50" s="14">
        <v>970.75714285714287</v>
      </c>
      <c r="AB50" s="15">
        <v>42</v>
      </c>
    </row>
    <row r="51" spans="1:28" x14ac:dyDescent="0.35">
      <c r="A51" s="10">
        <v>40</v>
      </c>
      <c r="B51" s="11" t="s">
        <v>63</v>
      </c>
      <c r="C51" s="12">
        <f>+'[1]ZOU-COLL'!I75</f>
        <v>0</v>
      </c>
      <c r="D51" s="13">
        <f>+'[1]ZOU-COLL'!J75</f>
        <v>0</v>
      </c>
      <c r="E51" s="14">
        <f>+'[1]ZOU-COLL'!Q75</f>
        <v>14.6</v>
      </c>
      <c r="F51" s="15">
        <f>+'[1]ZOU-COLL'!R75</f>
        <v>2</v>
      </c>
      <c r="G51" s="14">
        <f>+'[1]ZOU-COLL'!Y75</f>
        <v>40</v>
      </c>
      <c r="H51" s="15">
        <f>+'[1]ZOU-COLL'!Z75</f>
        <v>3</v>
      </c>
      <c r="I51" s="12">
        <f>+'[1]ZOU-COLL'!AG75</f>
        <v>45</v>
      </c>
      <c r="J51" s="13">
        <f>+'[1]ZOU-COLL'!AH75</f>
        <v>4</v>
      </c>
      <c r="K51" s="12">
        <v>45</v>
      </c>
      <c r="L51" s="13">
        <v>4</v>
      </c>
      <c r="M51" s="12">
        <v>58.599999999999994</v>
      </c>
      <c r="N51" s="13">
        <v>3</v>
      </c>
      <c r="O51" s="12">
        <v>80.100000000000009</v>
      </c>
      <c r="P51" s="13">
        <v>5</v>
      </c>
      <c r="Q51" s="12">
        <v>348.7</v>
      </c>
      <c r="R51" s="13">
        <v>7</v>
      </c>
      <c r="S51" s="12">
        <v>223</v>
      </c>
      <c r="T51" s="13">
        <v>9</v>
      </c>
      <c r="U51" s="12">
        <v>334.14000000000004</v>
      </c>
      <c r="V51" s="13">
        <v>12</v>
      </c>
      <c r="W51" s="12">
        <v>0</v>
      </c>
      <c r="X51" s="13">
        <v>0</v>
      </c>
      <c r="Y51" s="12">
        <v>0</v>
      </c>
      <c r="Z51" s="13">
        <v>0</v>
      </c>
      <c r="AA51" s="14">
        <v>1189.1400000000001</v>
      </c>
      <c r="AB51" s="15">
        <v>49</v>
      </c>
    </row>
    <row r="52" spans="1:28" x14ac:dyDescent="0.35">
      <c r="A52" s="10">
        <v>41</v>
      </c>
      <c r="B52" s="11" t="s">
        <v>64</v>
      </c>
      <c r="C52" s="12">
        <f>+'[1]ZOU-COLL'!I81</f>
        <v>0</v>
      </c>
      <c r="D52" s="13">
        <f>+'[1]ZOU-COLL'!J81</f>
        <v>0</v>
      </c>
      <c r="E52" s="14">
        <f>+'[1]ZOU-COLL'!Q81</f>
        <v>10.8</v>
      </c>
      <c r="F52" s="15">
        <f>+'[1]ZOU-COLL'!R81</f>
        <v>2</v>
      </c>
      <c r="G52" s="14">
        <f>+'[1]ZOU-COLL'!Y81</f>
        <v>32.200000000000003</v>
      </c>
      <c r="H52" s="15">
        <f>+'[1]ZOU-COLL'!Z81</f>
        <v>3</v>
      </c>
      <c r="I52" s="12">
        <f>+'[1]ZOU-COLL'!AG81</f>
        <v>127.5</v>
      </c>
      <c r="J52" s="13">
        <f>+'[1]ZOU-COLL'!AH81</f>
        <v>6</v>
      </c>
      <c r="K52" s="12">
        <v>127.5</v>
      </c>
      <c r="L52" s="13">
        <v>6</v>
      </c>
      <c r="M52" s="12">
        <v>106.3</v>
      </c>
      <c r="N52" s="13">
        <v>5</v>
      </c>
      <c r="O52" s="12">
        <v>232.64000000000001</v>
      </c>
      <c r="P52" s="13">
        <v>7</v>
      </c>
      <c r="Q52" s="12">
        <v>170.3</v>
      </c>
      <c r="R52" s="13">
        <v>6</v>
      </c>
      <c r="S52" s="12">
        <v>229.68</v>
      </c>
      <c r="T52" s="13">
        <v>7</v>
      </c>
      <c r="U52" s="12">
        <v>314.3</v>
      </c>
      <c r="V52" s="13">
        <v>9</v>
      </c>
      <c r="W52" s="12">
        <v>0</v>
      </c>
      <c r="X52" s="13">
        <v>0</v>
      </c>
      <c r="Y52" s="12">
        <v>0</v>
      </c>
      <c r="Z52" s="13">
        <v>0</v>
      </c>
      <c r="AA52" s="14">
        <v>1351.22</v>
      </c>
      <c r="AB52" s="15">
        <v>51</v>
      </c>
    </row>
    <row r="53" spans="1:28" x14ac:dyDescent="0.35">
      <c r="A53" s="10">
        <v>42</v>
      </c>
      <c r="B53" s="11" t="s">
        <v>65</v>
      </c>
      <c r="C53" s="12">
        <f>+'[1]ZOU-COLL'!I86</f>
        <v>0</v>
      </c>
      <c r="D53" s="13">
        <f>+'[1]ZOU-COLL'!J86</f>
        <v>0</v>
      </c>
      <c r="E53" s="14">
        <f>+'[1]ZOU-COLL'!Q86</f>
        <v>14.75</v>
      </c>
      <c r="F53" s="15">
        <f>+'[1]ZOU-COLL'!R86</f>
        <v>2</v>
      </c>
      <c r="G53" s="14">
        <f>+'[1]ZOU-COLL'!Y86</f>
        <v>14.75</v>
      </c>
      <c r="H53" s="15">
        <f>+'[1]ZOU-COLL'!Z86</f>
        <v>3</v>
      </c>
      <c r="I53" s="12">
        <f>+'[1]ZOU-COLL'!AG86</f>
        <v>68.5</v>
      </c>
      <c r="J53" s="13">
        <f>+'[1]ZOU-COLL'!AH86</f>
        <v>4</v>
      </c>
      <c r="K53" s="12">
        <v>68.5</v>
      </c>
      <c r="L53" s="13">
        <v>4</v>
      </c>
      <c r="M53" s="12">
        <v>58.25</v>
      </c>
      <c r="N53" s="13">
        <v>4</v>
      </c>
      <c r="O53" s="12">
        <v>90.25</v>
      </c>
      <c r="P53" s="13">
        <v>3</v>
      </c>
      <c r="Q53" s="12">
        <v>200</v>
      </c>
      <c r="R53" s="13">
        <v>7</v>
      </c>
      <c r="S53" s="12">
        <v>272</v>
      </c>
      <c r="T53" s="13">
        <v>9</v>
      </c>
      <c r="U53" s="12">
        <v>407.75</v>
      </c>
      <c r="V53" s="13">
        <v>11</v>
      </c>
      <c r="W53" s="12">
        <v>0</v>
      </c>
      <c r="X53" s="13">
        <v>0</v>
      </c>
      <c r="Y53" s="12">
        <v>0</v>
      </c>
      <c r="Z53" s="13">
        <v>0</v>
      </c>
      <c r="AA53" s="14">
        <v>1194.75</v>
      </c>
      <c r="AB53" s="15">
        <v>47</v>
      </c>
    </row>
    <row r="54" spans="1:28" ht="21.75" customHeight="1" x14ac:dyDescent="0.35">
      <c r="A54" s="19" t="s">
        <v>66</v>
      </c>
      <c r="B54" s="20"/>
      <c r="C54" s="17">
        <f>+'[1]ZOU-COLL'!I87</f>
        <v>0</v>
      </c>
      <c r="D54" s="17">
        <f>+'[1]ZOU-COLL'!J87</f>
        <v>0</v>
      </c>
      <c r="E54" s="17">
        <f>+'[1]ZOU-COLL'!Q87</f>
        <v>15.646875000000001</v>
      </c>
      <c r="F54" s="17">
        <f>+'[1]ZOU-COLL'!R87</f>
        <v>2</v>
      </c>
      <c r="G54" s="17">
        <f>+'[1]ZOU-COLL'!Y87</f>
        <v>28.001249999999999</v>
      </c>
      <c r="H54" s="17">
        <f>+'[1]ZOU-COLL'!Z87</f>
        <v>3</v>
      </c>
      <c r="I54" s="17">
        <f>+'[1]ZOU-COLL'!AG87</f>
        <v>90.786562500000002</v>
      </c>
      <c r="J54" s="17">
        <f>+'[1]ZOU-COLL'!AH87</f>
        <v>5</v>
      </c>
      <c r="K54" s="17">
        <v>90.786562500000002</v>
      </c>
      <c r="L54" s="17">
        <v>5</v>
      </c>
      <c r="M54" s="17">
        <v>98.682500000000005</v>
      </c>
      <c r="N54" s="17">
        <v>4</v>
      </c>
      <c r="O54" s="17">
        <v>150.01187499999997</v>
      </c>
      <c r="P54" s="17">
        <v>6</v>
      </c>
      <c r="Q54" s="17">
        <v>198.03175403225805</v>
      </c>
      <c r="R54" s="17">
        <v>7</v>
      </c>
      <c r="S54" s="17">
        <v>214.68322580645162</v>
      </c>
      <c r="T54" s="17">
        <v>8</v>
      </c>
      <c r="U54" s="17">
        <v>313.26156249999997</v>
      </c>
      <c r="V54" s="17">
        <v>11</v>
      </c>
      <c r="W54" s="17">
        <v>0</v>
      </c>
      <c r="X54" s="17">
        <v>0</v>
      </c>
      <c r="Y54" s="17">
        <v>0</v>
      </c>
      <c r="Z54" s="17">
        <v>0</v>
      </c>
      <c r="AA54" s="17">
        <v>1199.8921673387094</v>
      </c>
      <c r="AB54" s="17">
        <v>51</v>
      </c>
    </row>
    <row r="55" spans="1:28" ht="21.5" x14ac:dyDescent="0.35">
      <c r="A55" s="16" t="s">
        <v>67</v>
      </c>
      <c r="B55" s="16"/>
      <c r="C55" s="17">
        <f>+'[1]ZOU-COLL'!I88</f>
        <v>0</v>
      </c>
      <c r="D55" s="17">
        <f>+'[1]ZOU-COLL'!J88</f>
        <v>0</v>
      </c>
      <c r="E55" s="17">
        <f>+'[1]ZOU-COLL'!Q88</f>
        <v>10.267241379310345</v>
      </c>
      <c r="F55" s="17">
        <f>+'[1]ZOU-COLL'!R88</f>
        <v>2</v>
      </c>
      <c r="G55" s="17">
        <f>+'[1]ZOU-COLL'!Y88</f>
        <v>45.662758620689651</v>
      </c>
      <c r="H55" s="17">
        <f>+'[1]ZOU-COLL'!Z88</f>
        <v>3</v>
      </c>
      <c r="I55" s="17">
        <f>+'[1]ZOU-COLL'!AG88</f>
        <v>88.472068965517238</v>
      </c>
      <c r="J55" s="17">
        <f>+'[1]ZOU-COLL'!AH88</f>
        <v>5</v>
      </c>
      <c r="K55" s="17">
        <v>88.472068965517238</v>
      </c>
      <c r="L55" s="17">
        <v>5</v>
      </c>
      <c r="M55" s="17">
        <v>152.85241379310344</v>
      </c>
      <c r="N55" s="17">
        <v>7</v>
      </c>
      <c r="O55" s="17">
        <v>72.877586206896552</v>
      </c>
      <c r="P55" s="17">
        <v>4</v>
      </c>
      <c r="Q55" s="17">
        <v>145.88303085299458</v>
      </c>
      <c r="R55" s="17">
        <v>7</v>
      </c>
      <c r="S55" s="17">
        <v>164.98947368421054</v>
      </c>
      <c r="T55" s="17">
        <v>8</v>
      </c>
      <c r="U55" s="17">
        <v>232.91534482758624</v>
      </c>
      <c r="V55" s="17">
        <v>10</v>
      </c>
      <c r="W55" s="17">
        <v>2.9891379310344828</v>
      </c>
      <c r="X55" s="17">
        <v>2</v>
      </c>
      <c r="Y55" s="17">
        <v>0</v>
      </c>
      <c r="Z55" s="17">
        <v>0</v>
      </c>
      <c r="AA55" s="17">
        <v>1005.3811252268604</v>
      </c>
      <c r="AB55" s="17">
        <v>53</v>
      </c>
    </row>
    <row r="56" spans="1:28" x14ac:dyDescent="0.35">
      <c r="A56" s="10">
        <v>43</v>
      </c>
      <c r="B56" s="11" t="s">
        <v>68</v>
      </c>
      <c r="C56" s="12">
        <f>+'[1]MON-COUF'!I52</f>
        <v>0.9</v>
      </c>
      <c r="D56" s="13">
        <f>+'[1]MON-COUF'!J52</f>
        <v>1</v>
      </c>
      <c r="E56" s="14">
        <f>+'[1]MON-COUF'!Q52</f>
        <v>24.2</v>
      </c>
      <c r="F56" s="15">
        <f>+'[1]MON-COUF'!R52</f>
        <v>1</v>
      </c>
      <c r="G56" s="14">
        <f>+'[1]MON-COUF'!Y52</f>
        <v>133.33333333333334</v>
      </c>
      <c r="H56" s="15">
        <f>+'[1]MON-COUF'!Z52</f>
        <v>5</v>
      </c>
      <c r="I56" s="12">
        <f>+'[1]MON-COUF'!AG52</f>
        <v>103.93333333333334</v>
      </c>
      <c r="J56" s="13">
        <f>+'[1]MON-COUF'!AH52</f>
        <v>8</v>
      </c>
      <c r="K56" s="12">
        <v>148.26666666666665</v>
      </c>
      <c r="L56" s="13">
        <v>8</v>
      </c>
      <c r="M56" s="12">
        <v>132.9</v>
      </c>
      <c r="N56" s="13">
        <v>9</v>
      </c>
      <c r="O56" s="12">
        <v>8.4</v>
      </c>
      <c r="P56" s="13">
        <v>4</v>
      </c>
      <c r="Q56" s="12">
        <v>32.366666666666667</v>
      </c>
      <c r="R56" s="13">
        <v>5</v>
      </c>
      <c r="S56" s="12">
        <v>61.766666666666673</v>
      </c>
      <c r="T56" s="13">
        <v>5</v>
      </c>
      <c r="U56" s="12">
        <v>201.93333333333334</v>
      </c>
      <c r="V56" s="13">
        <v>14</v>
      </c>
      <c r="W56" s="12">
        <v>21.666666666666668</v>
      </c>
      <c r="X56" s="13">
        <v>2</v>
      </c>
      <c r="Y56" s="12">
        <v>0</v>
      </c>
      <c r="Z56" s="13">
        <v>0</v>
      </c>
      <c r="AA56" s="14">
        <v>869.66666666666663</v>
      </c>
      <c r="AB56" s="15">
        <v>62</v>
      </c>
    </row>
    <row r="57" spans="1:28" x14ac:dyDescent="0.35">
      <c r="A57" s="10">
        <v>44</v>
      </c>
      <c r="B57" s="11" t="s">
        <v>69</v>
      </c>
      <c r="C57" s="12">
        <f>+'[1]MON-COUF'!I56</f>
        <v>0</v>
      </c>
      <c r="D57" s="13">
        <f>+'[1]MON-COUF'!J56</f>
        <v>0</v>
      </c>
      <c r="E57" s="14">
        <f>+'[1]MON-COUF'!Q56</f>
        <v>1.5</v>
      </c>
      <c r="F57" s="15">
        <f>+'[1]MON-COUF'!R56</f>
        <v>1</v>
      </c>
      <c r="G57" s="14">
        <f>+'[1]MON-COUF'!Y56</f>
        <v>39.799999999999997</v>
      </c>
      <c r="H57" s="15">
        <f>+'[1]MON-COUF'!Z56</f>
        <v>4</v>
      </c>
      <c r="I57" s="12">
        <f>+'[1]MON-COUF'!AG56</f>
        <v>219.2</v>
      </c>
      <c r="J57" s="13">
        <f>+'[1]MON-COUF'!AH56</f>
        <v>9</v>
      </c>
      <c r="K57" s="12">
        <v>106.8</v>
      </c>
      <c r="L57" s="13">
        <v>6</v>
      </c>
      <c r="M57" s="12">
        <v>203.45</v>
      </c>
      <c r="N57" s="13">
        <v>11</v>
      </c>
      <c r="O57" s="12">
        <v>4.5</v>
      </c>
      <c r="P57" s="13">
        <v>1</v>
      </c>
      <c r="Q57" s="12">
        <v>10.344999999999999</v>
      </c>
      <c r="R57" s="13">
        <v>2</v>
      </c>
      <c r="S57" s="12">
        <v>64.8</v>
      </c>
      <c r="T57" s="13">
        <v>6</v>
      </c>
      <c r="U57" s="12">
        <v>271.35000000000002</v>
      </c>
      <c r="V57" s="13">
        <v>15</v>
      </c>
      <c r="W57" s="12">
        <v>24.049999999999997</v>
      </c>
      <c r="X57" s="13">
        <v>3</v>
      </c>
      <c r="Y57" s="12">
        <v>0</v>
      </c>
      <c r="Z57" s="13">
        <v>0</v>
      </c>
      <c r="AA57" s="14">
        <v>945.79499999999996</v>
      </c>
      <c r="AB57" s="15">
        <v>58</v>
      </c>
    </row>
    <row r="58" spans="1:28" x14ac:dyDescent="0.35">
      <c r="A58" s="10">
        <v>45</v>
      </c>
      <c r="B58" s="11" t="s">
        <v>70</v>
      </c>
      <c r="C58" s="12">
        <f>+'[1]MON-COUF'!I60</f>
        <v>10.333333333333334</v>
      </c>
      <c r="D58" s="13">
        <f>+'[1]MON-COUF'!J60</f>
        <v>1</v>
      </c>
      <c r="E58" s="14">
        <f>+'[1]MON-COUF'!Q60</f>
        <v>0.5</v>
      </c>
      <c r="F58" s="15">
        <f>+'[1]MON-COUF'!R60</f>
        <v>1</v>
      </c>
      <c r="G58" s="14">
        <f>+'[1]MON-COUF'!Y60</f>
        <v>56.833333333333329</v>
      </c>
      <c r="H58" s="15">
        <f>+'[1]MON-COUF'!Z60</f>
        <v>3</v>
      </c>
      <c r="I58" s="12">
        <f>+'[1]MON-COUF'!AG60</f>
        <v>193.33333333333334</v>
      </c>
      <c r="J58" s="13">
        <f>+'[1]MON-COUF'!AH60</f>
        <v>8</v>
      </c>
      <c r="K58" s="12">
        <v>156</v>
      </c>
      <c r="L58" s="13">
        <v>8</v>
      </c>
      <c r="M58" s="12">
        <v>120.08333333333331</v>
      </c>
      <c r="N58" s="13">
        <v>11</v>
      </c>
      <c r="O58" s="12">
        <v>5.3333333333333339</v>
      </c>
      <c r="P58" s="13">
        <v>3</v>
      </c>
      <c r="Q58" s="12">
        <v>9.5</v>
      </c>
      <c r="R58" s="13">
        <v>3</v>
      </c>
      <c r="S58" s="12">
        <v>20.583333333333336</v>
      </c>
      <c r="T58" s="13">
        <v>5</v>
      </c>
      <c r="U58" s="12">
        <v>148.75</v>
      </c>
      <c r="V58" s="13">
        <v>13</v>
      </c>
      <c r="W58" s="12">
        <v>6.833333333333333</v>
      </c>
      <c r="X58" s="13">
        <v>3</v>
      </c>
      <c r="Y58" s="12">
        <v>0</v>
      </c>
      <c r="Z58" s="13">
        <v>0</v>
      </c>
      <c r="AA58" s="14">
        <v>728.08333333333337</v>
      </c>
      <c r="AB58" s="15">
        <v>59</v>
      </c>
    </row>
    <row r="59" spans="1:28" x14ac:dyDescent="0.35">
      <c r="A59" s="10">
        <v>46</v>
      </c>
      <c r="B59" s="11" t="s">
        <v>71</v>
      </c>
      <c r="C59" s="12">
        <f>+'[1]MON-COUF'!I64</f>
        <v>9.3666666666666671</v>
      </c>
      <c r="D59" s="13">
        <f>+'[1]MON-COUF'!J64</f>
        <v>1</v>
      </c>
      <c r="E59" s="14">
        <f>+'[1]MON-COUF'!Q64</f>
        <v>2.1733333333333333</v>
      </c>
      <c r="F59" s="15">
        <f>+'[1]MON-COUF'!R64</f>
        <v>1</v>
      </c>
      <c r="G59" s="14">
        <f>+'[1]MON-COUF'!Y64</f>
        <v>36.56333333333334</v>
      </c>
      <c r="H59" s="15">
        <f>+'[1]MON-COUF'!Z64</f>
        <v>3</v>
      </c>
      <c r="I59" s="12">
        <f>+'[1]MON-COUF'!AG64</f>
        <v>154.96666666666667</v>
      </c>
      <c r="J59" s="13">
        <f>+'[1]MON-COUF'!AH64</f>
        <v>7</v>
      </c>
      <c r="K59" s="12">
        <v>120.93333333333334</v>
      </c>
      <c r="L59" s="13">
        <v>7</v>
      </c>
      <c r="M59" s="12">
        <v>211.00666666666666</v>
      </c>
      <c r="N59" s="13">
        <v>13</v>
      </c>
      <c r="O59" s="12">
        <v>10.75</v>
      </c>
      <c r="P59" s="13">
        <v>3</v>
      </c>
      <c r="Q59" s="12">
        <v>11.5</v>
      </c>
      <c r="R59" s="13">
        <v>2</v>
      </c>
      <c r="S59" s="12">
        <v>14.4</v>
      </c>
      <c r="T59" s="13">
        <v>3</v>
      </c>
      <c r="U59" s="12">
        <v>159.43333333333334</v>
      </c>
      <c r="V59" s="13">
        <v>12</v>
      </c>
      <c r="W59" s="12">
        <v>10.200000000000001</v>
      </c>
      <c r="X59" s="13">
        <v>2</v>
      </c>
      <c r="Y59" s="12">
        <v>0</v>
      </c>
      <c r="Z59" s="13">
        <v>0</v>
      </c>
      <c r="AA59" s="14">
        <v>741.29333333333329</v>
      </c>
      <c r="AB59" s="15">
        <v>54</v>
      </c>
    </row>
    <row r="60" spans="1:28" x14ac:dyDescent="0.35">
      <c r="A60" s="10">
        <v>47</v>
      </c>
      <c r="B60" s="11" t="s">
        <v>72</v>
      </c>
      <c r="C60" s="12">
        <f>+'[1]MON-COUF'!I68</f>
        <v>0.66666666666666663</v>
      </c>
      <c r="D60" s="13">
        <f>+'[1]MON-COUF'!J68</f>
        <v>1</v>
      </c>
      <c r="E60" s="14">
        <f>+'[1]MON-COUF'!Q68</f>
        <v>5</v>
      </c>
      <c r="F60" s="15">
        <f>+'[1]MON-COUF'!R68</f>
        <v>2</v>
      </c>
      <c r="G60" s="14">
        <f>+'[1]MON-COUF'!Y68</f>
        <v>48.833333333333336</v>
      </c>
      <c r="H60" s="15">
        <f>+'[1]MON-COUF'!Z68</f>
        <v>4</v>
      </c>
      <c r="I60" s="12">
        <f>+'[1]MON-COUF'!AG68</f>
        <v>164.53333333333336</v>
      </c>
      <c r="J60" s="13">
        <f>+'[1]MON-COUF'!AH68</f>
        <v>8</v>
      </c>
      <c r="K60" s="12">
        <v>161.69999999999999</v>
      </c>
      <c r="L60" s="13">
        <v>9</v>
      </c>
      <c r="M60" s="12">
        <v>203.8</v>
      </c>
      <c r="N60" s="13">
        <v>12</v>
      </c>
      <c r="O60" s="12">
        <v>15.099999999999998</v>
      </c>
      <c r="P60" s="13">
        <v>5</v>
      </c>
      <c r="Q60" s="12">
        <v>22.533333333333331</v>
      </c>
      <c r="R60" s="13">
        <v>7</v>
      </c>
      <c r="S60" s="12">
        <v>67.333333333333329</v>
      </c>
      <c r="T60" s="13">
        <v>8</v>
      </c>
      <c r="U60" s="12">
        <v>282.83333333333331</v>
      </c>
      <c r="V60" s="13">
        <v>16</v>
      </c>
      <c r="W60" s="12">
        <v>21.333333333333336</v>
      </c>
      <c r="X60" s="13">
        <v>3</v>
      </c>
      <c r="Y60" s="12">
        <v>0</v>
      </c>
      <c r="Z60" s="13">
        <v>0</v>
      </c>
      <c r="AA60" s="14">
        <v>993.66666666666663</v>
      </c>
      <c r="AB60" s="15">
        <v>75</v>
      </c>
    </row>
    <row r="61" spans="1:28" x14ac:dyDescent="0.35">
      <c r="A61" s="10">
        <v>48</v>
      </c>
      <c r="B61" s="11" t="s">
        <v>73</v>
      </c>
      <c r="C61" s="12">
        <f>+'[1]MON-COUF'!I71</f>
        <v>0.7</v>
      </c>
      <c r="D61" s="13">
        <f>+'[1]MON-COUF'!J71</f>
        <v>1</v>
      </c>
      <c r="E61" s="14">
        <f>+'[1]MON-COUF'!Q71</f>
        <v>15.899999999999999</v>
      </c>
      <c r="F61" s="15">
        <f>+'[1]MON-COUF'!R71</f>
        <v>1</v>
      </c>
      <c r="G61" s="14">
        <f>+'[1]MON-COUF'!Y71</f>
        <v>66.349999999999994</v>
      </c>
      <c r="H61" s="15">
        <f>+'[1]MON-COUF'!Z71</f>
        <v>5</v>
      </c>
      <c r="I61" s="12">
        <f>+'[1]MON-COUF'!AG71</f>
        <v>123.55</v>
      </c>
      <c r="J61" s="13">
        <f>+'[1]MON-COUF'!AH71</f>
        <v>7</v>
      </c>
      <c r="K61" s="12">
        <v>118.89999999999999</v>
      </c>
      <c r="L61" s="13">
        <v>8</v>
      </c>
      <c r="M61" s="12">
        <v>204.15</v>
      </c>
      <c r="N61" s="13">
        <v>15</v>
      </c>
      <c r="O61" s="12">
        <v>11.450000000000001</v>
      </c>
      <c r="P61" s="13">
        <v>3</v>
      </c>
      <c r="Q61" s="12">
        <v>43.35</v>
      </c>
      <c r="R61" s="13">
        <v>7</v>
      </c>
      <c r="S61" s="12">
        <v>103.2</v>
      </c>
      <c r="T61" s="13">
        <v>9</v>
      </c>
      <c r="U61" s="12">
        <v>204.6</v>
      </c>
      <c r="V61" s="13">
        <v>16</v>
      </c>
      <c r="W61" s="12">
        <v>3.75</v>
      </c>
      <c r="X61" s="13">
        <v>1</v>
      </c>
      <c r="Y61" s="12">
        <v>0</v>
      </c>
      <c r="Z61" s="13">
        <v>0</v>
      </c>
      <c r="AA61" s="14">
        <v>895.90000000000009</v>
      </c>
      <c r="AB61" s="15">
        <v>73</v>
      </c>
    </row>
    <row r="62" spans="1:28" ht="20.25" customHeight="1" x14ac:dyDescent="0.35">
      <c r="A62" s="16" t="s">
        <v>74</v>
      </c>
      <c r="B62" s="16"/>
      <c r="C62" s="12">
        <f>+'[1]MON-COUF'!I72</f>
        <v>0.61</v>
      </c>
      <c r="D62" s="13">
        <f>+'[1]MON-COUF'!J72</f>
        <v>1</v>
      </c>
      <c r="E62" s="14">
        <f>+'[1]MON-COUF'!Q72</f>
        <v>12.24</v>
      </c>
      <c r="F62" s="15">
        <f>+'[1]MON-COUF'!R72</f>
        <v>2</v>
      </c>
      <c r="G62" s="14">
        <f>+'[1]MON-COUF'!Y72</f>
        <v>75.88000000000001</v>
      </c>
      <c r="H62" s="15">
        <f>+'[1]MON-COUF'!Z72</f>
        <v>5</v>
      </c>
      <c r="I62" s="12">
        <f>+'[1]MON-COUF'!AG72</f>
        <v>149.08999999999997</v>
      </c>
      <c r="J62" s="13">
        <f>+'[1]MON-COUF'!AH72</f>
        <v>9</v>
      </c>
      <c r="K62" s="12">
        <v>138.74</v>
      </c>
      <c r="L62" s="13">
        <v>8</v>
      </c>
      <c r="M62" s="12">
        <v>182.53000000000003</v>
      </c>
      <c r="N62" s="13">
        <v>11</v>
      </c>
      <c r="O62" s="12">
        <v>10.24</v>
      </c>
      <c r="P62" s="13">
        <v>4</v>
      </c>
      <c r="Q62" s="12">
        <v>27.208999999999996</v>
      </c>
      <c r="R62" s="13">
        <v>6</v>
      </c>
      <c r="S62" s="12">
        <v>72.33</v>
      </c>
      <c r="T62" s="13">
        <v>7</v>
      </c>
      <c r="U62" s="12">
        <v>240.62</v>
      </c>
      <c r="V62" s="13">
        <v>16</v>
      </c>
      <c r="W62" s="12">
        <v>18.46</v>
      </c>
      <c r="X62" s="13">
        <v>2</v>
      </c>
      <c r="Y62" s="12">
        <v>0</v>
      </c>
      <c r="Z62" s="13">
        <v>0</v>
      </c>
      <c r="AA62" s="14">
        <v>927.94900000000007</v>
      </c>
      <c r="AB62" s="15">
        <v>71</v>
      </c>
    </row>
    <row r="63" spans="1:28" x14ac:dyDescent="0.35">
      <c r="A63" s="10">
        <v>49</v>
      </c>
      <c r="B63" s="11" t="s">
        <v>75</v>
      </c>
      <c r="C63" s="12">
        <f>+'[1]MON-COUF'!I15</f>
        <v>4.375</v>
      </c>
      <c r="D63" s="13">
        <f>+'[1]MON-COUF'!J15</f>
        <v>2</v>
      </c>
      <c r="E63" s="14">
        <f>+'[1]MON-COUF'!Q15</f>
        <v>42.987499999999997</v>
      </c>
      <c r="F63" s="15">
        <f>+'[1]MON-COUF'!R15</f>
        <v>2</v>
      </c>
      <c r="G63" s="14">
        <f>+'[1]MON-COUF'!Y15</f>
        <v>9.25</v>
      </c>
      <c r="H63" s="15">
        <f>+'[1]MON-COUF'!Z15</f>
        <v>2</v>
      </c>
      <c r="I63" s="12">
        <f>+'[1]MON-COUF'!AG15</f>
        <v>120.45</v>
      </c>
      <c r="J63" s="13">
        <f>+'[1]MON-COUF'!AH15</f>
        <v>6</v>
      </c>
      <c r="K63" s="12">
        <v>164.26249999999999</v>
      </c>
      <c r="L63" s="13">
        <v>7</v>
      </c>
      <c r="M63" s="12">
        <v>149.95000000000002</v>
      </c>
      <c r="N63" s="13">
        <v>7</v>
      </c>
      <c r="O63" s="12">
        <v>42.975000000000009</v>
      </c>
      <c r="P63" s="13">
        <v>4</v>
      </c>
      <c r="Q63" s="12">
        <v>86.787499999999994</v>
      </c>
      <c r="R63" s="13">
        <v>4</v>
      </c>
      <c r="S63" s="12">
        <v>129.60124999999999</v>
      </c>
      <c r="T63" s="13">
        <v>6</v>
      </c>
      <c r="U63" s="12">
        <v>210.05</v>
      </c>
      <c r="V63" s="13">
        <v>11</v>
      </c>
      <c r="W63" s="12">
        <v>1.1499999999999999</v>
      </c>
      <c r="X63" s="13">
        <v>2</v>
      </c>
      <c r="Y63" s="12">
        <v>0</v>
      </c>
      <c r="Z63" s="13">
        <v>0</v>
      </c>
      <c r="AA63" s="14">
        <v>961.83875</v>
      </c>
      <c r="AB63" s="15">
        <v>53</v>
      </c>
    </row>
    <row r="64" spans="1:28" x14ac:dyDescent="0.35">
      <c r="A64" s="10">
        <v>50</v>
      </c>
      <c r="B64" s="11" t="s">
        <v>76</v>
      </c>
      <c r="C64" s="12">
        <f>+'[1]MON-COUF'!I22</f>
        <v>3.5</v>
      </c>
      <c r="D64" s="13">
        <f>+'[1]MON-COUF'!J22</f>
        <v>1</v>
      </c>
      <c r="E64" s="14">
        <f>+'[1]MON-COUF'!Q22</f>
        <v>58</v>
      </c>
      <c r="F64" s="15">
        <f>+'[1]MON-COUF'!R22</f>
        <v>2</v>
      </c>
      <c r="G64" s="14">
        <f>+'[1]MON-COUF'!Y22</f>
        <v>4.1666666666666661</v>
      </c>
      <c r="H64" s="15">
        <f>+'[1]MON-COUF'!Z22</f>
        <v>2</v>
      </c>
      <c r="I64" s="12">
        <f>+'[1]MON-COUF'!AG22</f>
        <v>97.083333333333343</v>
      </c>
      <c r="J64" s="13">
        <f>+'[1]MON-COUF'!AH22</f>
        <v>5</v>
      </c>
      <c r="K64" s="12">
        <v>174</v>
      </c>
      <c r="L64" s="13">
        <v>9</v>
      </c>
      <c r="M64" s="12">
        <v>212</v>
      </c>
      <c r="N64" s="13">
        <v>12</v>
      </c>
      <c r="O64" s="12">
        <v>13.333333333333334</v>
      </c>
      <c r="P64" s="13">
        <v>3</v>
      </c>
      <c r="Q64" s="12">
        <v>48.5</v>
      </c>
      <c r="R64" s="13">
        <v>6</v>
      </c>
      <c r="S64" s="12">
        <v>191.24999999999997</v>
      </c>
      <c r="T64" s="13">
        <v>8</v>
      </c>
      <c r="U64" s="12">
        <v>265</v>
      </c>
      <c r="V64" s="13">
        <v>13</v>
      </c>
      <c r="W64" s="12">
        <v>6.666666666666667</v>
      </c>
      <c r="X64" s="13">
        <v>2</v>
      </c>
      <c r="Y64" s="12">
        <v>0</v>
      </c>
      <c r="Z64" s="13">
        <v>0</v>
      </c>
      <c r="AA64" s="14">
        <v>1073.5000000000002</v>
      </c>
      <c r="AB64" s="15">
        <v>63</v>
      </c>
    </row>
    <row r="65" spans="1:28" x14ac:dyDescent="0.35">
      <c r="A65" s="10">
        <v>51</v>
      </c>
      <c r="B65" s="11" t="s">
        <v>77</v>
      </c>
      <c r="C65" s="12">
        <f>+'[1]MON-COUF'!I28</f>
        <v>4.2</v>
      </c>
      <c r="D65" s="13">
        <f>+'[1]MON-COUF'!J28</f>
        <v>2</v>
      </c>
      <c r="E65" s="14">
        <f>+'[1]MON-COUF'!Q28</f>
        <v>26.02</v>
      </c>
      <c r="F65" s="15">
        <f>+'[1]MON-COUF'!R28</f>
        <v>2</v>
      </c>
      <c r="G65" s="14">
        <f>+'[1]MON-COUF'!Y28</f>
        <v>1.32</v>
      </c>
      <c r="H65" s="15">
        <f>+'[1]MON-COUF'!Z28</f>
        <v>2</v>
      </c>
      <c r="I65" s="12">
        <f>+'[1]MON-COUF'!AG28</f>
        <v>119.502</v>
      </c>
      <c r="J65" s="13">
        <f>+'[1]MON-COUF'!AH28</f>
        <v>7</v>
      </c>
      <c r="K65" s="12">
        <v>176.04</v>
      </c>
      <c r="L65" s="13">
        <v>9</v>
      </c>
      <c r="M65" s="12">
        <v>261.46000000000004</v>
      </c>
      <c r="N65" s="13">
        <v>11</v>
      </c>
      <c r="O65" s="12">
        <v>18.980000000000004</v>
      </c>
      <c r="P65" s="13">
        <v>3</v>
      </c>
      <c r="Q65" s="12">
        <v>36.519999999999996</v>
      </c>
      <c r="R65" s="13">
        <v>4</v>
      </c>
      <c r="S65" s="12">
        <v>121.03999999999999</v>
      </c>
      <c r="T65" s="13">
        <v>6</v>
      </c>
      <c r="U65" s="12">
        <v>140.13999999999999</v>
      </c>
      <c r="V65" s="13">
        <v>11</v>
      </c>
      <c r="W65" s="12">
        <v>5.84</v>
      </c>
      <c r="X65" s="13">
        <v>1</v>
      </c>
      <c r="Y65" s="12">
        <v>0</v>
      </c>
      <c r="Z65" s="13">
        <v>0</v>
      </c>
      <c r="AA65" s="14">
        <v>911.06200000000001</v>
      </c>
      <c r="AB65" s="15">
        <v>58</v>
      </c>
    </row>
    <row r="66" spans="1:28" x14ac:dyDescent="0.35">
      <c r="A66" s="10">
        <v>52</v>
      </c>
      <c r="B66" s="11" t="s">
        <v>78</v>
      </c>
      <c r="C66" s="12">
        <f>+'[1]MON-COUF'!I36</f>
        <v>0</v>
      </c>
      <c r="D66" s="13">
        <f>+'[1]MON-COUF'!J36</f>
        <v>0</v>
      </c>
      <c r="E66" s="14">
        <f>+'[1]MON-COUF'!Q36</f>
        <v>26.042857142857144</v>
      </c>
      <c r="F66" s="15">
        <f>+'[1]MON-COUF'!R36</f>
        <v>2</v>
      </c>
      <c r="G66" s="14">
        <f>+'[1]MON-COUF'!Y36</f>
        <v>2.3571428571428572</v>
      </c>
      <c r="H66" s="15">
        <f>+'[1]MON-COUF'!Z36</f>
        <v>1</v>
      </c>
      <c r="I66" s="12">
        <f>+'[1]MON-COUF'!AG36</f>
        <v>70.338571428571427</v>
      </c>
      <c r="J66" s="13">
        <f>+'[1]MON-COUF'!AH36</f>
        <v>6</v>
      </c>
      <c r="K66" s="12">
        <v>159.31428571428572</v>
      </c>
      <c r="L66" s="13">
        <v>8</v>
      </c>
      <c r="M66" s="12">
        <v>206.68571428571425</v>
      </c>
      <c r="N66" s="13">
        <v>9</v>
      </c>
      <c r="O66" s="12">
        <v>22.785714285714285</v>
      </c>
      <c r="P66" s="13">
        <v>3</v>
      </c>
      <c r="Q66" s="12">
        <v>75.94285714285715</v>
      </c>
      <c r="R66" s="13">
        <v>7</v>
      </c>
      <c r="S66" s="12">
        <v>150.47142857142859</v>
      </c>
      <c r="T66" s="13">
        <v>7</v>
      </c>
      <c r="U66" s="12">
        <v>173.41428571428568</v>
      </c>
      <c r="V66" s="13">
        <v>13</v>
      </c>
      <c r="W66" s="12">
        <v>7.1428571428571423</v>
      </c>
      <c r="X66" s="13">
        <v>2</v>
      </c>
      <c r="Y66" s="12">
        <v>0</v>
      </c>
      <c r="Z66" s="13">
        <v>0</v>
      </c>
      <c r="AA66" s="14">
        <v>894.49571428571414</v>
      </c>
      <c r="AB66" s="15">
        <v>58</v>
      </c>
    </row>
    <row r="67" spans="1:28" x14ac:dyDescent="0.35">
      <c r="A67" s="10">
        <v>53</v>
      </c>
      <c r="B67" s="11" t="s">
        <v>79</v>
      </c>
      <c r="C67" s="12">
        <f>+'[1]MON-COUF'!I41</f>
        <v>0</v>
      </c>
      <c r="D67" s="13">
        <f>+'[1]MON-COUF'!J41</f>
        <v>0</v>
      </c>
      <c r="E67" s="14">
        <f>+'[1]MON-COUF'!Q41</f>
        <v>30.25</v>
      </c>
      <c r="F67" s="15">
        <f>+'[1]MON-COUF'!R41</f>
        <v>2</v>
      </c>
      <c r="G67" s="14">
        <f>+'[1]MON-COUF'!Y41</f>
        <v>2.5</v>
      </c>
      <c r="H67" s="15">
        <f>+'[1]MON-COUF'!Z41</f>
        <v>1</v>
      </c>
      <c r="I67" s="12">
        <f>+'[1]MON-COUF'!AG41</f>
        <v>55.5</v>
      </c>
      <c r="J67" s="13">
        <f>+'[1]MON-COUF'!AH41</f>
        <v>4</v>
      </c>
      <c r="K67" s="12">
        <v>79.75</v>
      </c>
      <c r="L67" s="13">
        <v>8</v>
      </c>
      <c r="M67" s="12">
        <v>58.75</v>
      </c>
      <c r="N67" s="13">
        <v>6</v>
      </c>
      <c r="O67" s="12">
        <v>20.75</v>
      </c>
      <c r="P67" s="13">
        <v>3</v>
      </c>
      <c r="Q67" s="12">
        <v>41.75</v>
      </c>
      <c r="R67" s="13">
        <v>4</v>
      </c>
      <c r="S67" s="12">
        <v>62.5</v>
      </c>
      <c r="T67" s="13">
        <v>7</v>
      </c>
      <c r="U67" s="12">
        <v>131.25</v>
      </c>
      <c r="V67" s="13">
        <v>12</v>
      </c>
      <c r="W67" s="12">
        <v>9</v>
      </c>
      <c r="X67" s="13">
        <v>1</v>
      </c>
      <c r="Y67" s="12">
        <v>0</v>
      </c>
      <c r="Z67" s="13">
        <v>0</v>
      </c>
      <c r="AA67" s="14">
        <v>492</v>
      </c>
      <c r="AB67" s="15">
        <v>48</v>
      </c>
    </row>
    <row r="68" spans="1:28" x14ac:dyDescent="0.35">
      <c r="A68" s="10">
        <v>54</v>
      </c>
      <c r="B68" s="11" t="s">
        <v>80</v>
      </c>
      <c r="C68" s="12">
        <f>+'[1]MON-COUF'!I47</f>
        <v>0</v>
      </c>
      <c r="D68" s="13">
        <f>+'[1]MON-COUF'!J47</f>
        <v>0</v>
      </c>
      <c r="E68" s="14">
        <f>+'[1]MON-COUF'!Q47</f>
        <v>84.8</v>
      </c>
      <c r="F68" s="15">
        <f>+'[1]MON-COUF'!R47</f>
        <v>2</v>
      </c>
      <c r="G68" s="14">
        <f>+'[1]MON-COUF'!Y47</f>
        <v>8</v>
      </c>
      <c r="H68" s="15">
        <f>+'[1]MON-COUF'!Z47</f>
        <v>1</v>
      </c>
      <c r="I68" s="12">
        <f>+'[1]MON-COUF'!AG47</f>
        <v>119.19999999999999</v>
      </c>
      <c r="J68" s="13">
        <f>+'[1]MON-COUF'!AH47</f>
        <v>5</v>
      </c>
      <c r="K68" s="12">
        <v>145.4</v>
      </c>
      <c r="L68" s="13">
        <v>5</v>
      </c>
      <c r="M68" s="12">
        <v>169.8</v>
      </c>
      <c r="N68" s="13">
        <v>6</v>
      </c>
      <c r="O68" s="12">
        <v>0</v>
      </c>
      <c r="P68" s="13">
        <v>0</v>
      </c>
      <c r="Q68" s="12">
        <v>38.799999999999997</v>
      </c>
      <c r="R68" s="13">
        <v>4</v>
      </c>
      <c r="S68" s="12">
        <v>132.6</v>
      </c>
      <c r="T68" s="13">
        <v>6</v>
      </c>
      <c r="U68" s="12">
        <v>201.4</v>
      </c>
      <c r="V68" s="13">
        <v>13</v>
      </c>
      <c r="W68" s="12">
        <v>27.3</v>
      </c>
      <c r="X68" s="13">
        <v>2</v>
      </c>
      <c r="Y68" s="12">
        <v>0</v>
      </c>
      <c r="Z68" s="13">
        <v>0</v>
      </c>
      <c r="AA68" s="14">
        <v>927.3</v>
      </c>
      <c r="AB68" s="15">
        <v>44</v>
      </c>
    </row>
    <row r="69" spans="1:28" ht="22.5" customHeight="1" x14ac:dyDescent="0.35">
      <c r="A69" s="16" t="s">
        <v>81</v>
      </c>
      <c r="B69" s="16"/>
      <c r="C69" s="17">
        <f>+'[1]MON-COUF'!I48</f>
        <v>2.2000000000000002</v>
      </c>
      <c r="D69" s="17">
        <f>+'[1]MON-COUF'!J48</f>
        <v>3</v>
      </c>
      <c r="E69" s="17">
        <f>+'[1]MON-COUF'!Q48</f>
        <v>44.265714285714282</v>
      </c>
      <c r="F69" s="17">
        <f>+'[1]MON-COUF'!R48</f>
        <v>2</v>
      </c>
      <c r="G69" s="17">
        <f>+'[1]MON-COUF'!Y48</f>
        <v>4.9171428571428564</v>
      </c>
      <c r="H69" s="17">
        <f>+'[1]MON-COUF'!Z48</f>
        <v>2</v>
      </c>
      <c r="I69" s="17">
        <f>+'[1]MON-COUF'!AG48</f>
        <v>98.685142857142864</v>
      </c>
      <c r="J69" s="17">
        <f>+'[1]MON-COUF'!AH48</f>
        <v>7</v>
      </c>
      <c r="K69" s="17">
        <v>154.2714285714286</v>
      </c>
      <c r="L69" s="17">
        <v>7</v>
      </c>
      <c r="M69" s="17">
        <v>180.27714285714288</v>
      </c>
      <c r="N69" s="17">
        <v>9</v>
      </c>
      <c r="O69" s="17">
        <v>21.748571428571431</v>
      </c>
      <c r="P69" s="17">
        <v>4</v>
      </c>
      <c r="Q69" s="17">
        <v>58.871428571428574</v>
      </c>
      <c r="R69" s="17">
        <v>6</v>
      </c>
      <c r="S69" s="17">
        <v>135.88028571428572</v>
      </c>
      <c r="T69" s="17">
        <v>7</v>
      </c>
      <c r="U69" s="17">
        <v>191.91428571428571</v>
      </c>
      <c r="V69" s="17">
        <v>12</v>
      </c>
      <c r="W69" s="17">
        <v>8.5971428571428561</v>
      </c>
      <c r="X69" s="17">
        <v>2</v>
      </c>
      <c r="Y69" s="17">
        <v>0</v>
      </c>
      <c r="Z69" s="17">
        <v>0</v>
      </c>
      <c r="AA69" s="17">
        <v>901.62828571428577</v>
      </c>
      <c r="AB69" s="17">
        <v>61</v>
      </c>
    </row>
    <row r="70" spans="1:28" ht="22.5" customHeight="1" x14ac:dyDescent="0.35">
      <c r="A70" s="16" t="s">
        <v>82</v>
      </c>
      <c r="B70" s="16"/>
      <c r="C70" s="17">
        <f>+'[1]MON-COUF'!I73</f>
        <v>1.8466666666666667</v>
      </c>
      <c r="D70" s="17">
        <f>+'[1]MON-COUF'!J73</f>
        <v>3</v>
      </c>
      <c r="E70" s="17">
        <f>+'[1]MON-COUF'!Q73</f>
        <v>37.148888888888884</v>
      </c>
      <c r="F70" s="17">
        <f>+'[1]MON-COUF'!R73</f>
        <v>4</v>
      </c>
      <c r="G70" s="17">
        <f>+'[1]MON-COUF'!Y73</f>
        <v>20.686666666666671</v>
      </c>
      <c r="H70" s="17">
        <f>+'[1]MON-COUF'!Z73</f>
        <v>3</v>
      </c>
      <c r="I70" s="17">
        <f>+'[1]MON-COUF'!AG73</f>
        <v>109.88622222222224</v>
      </c>
      <c r="J70" s="17">
        <f>+'[1]MON-COUF'!AH73</f>
        <v>7</v>
      </c>
      <c r="K70" s="17">
        <v>150.66883838383836</v>
      </c>
      <c r="L70" s="17">
        <v>8</v>
      </c>
      <c r="M70" s="17">
        <v>180.77777777777777</v>
      </c>
      <c r="N70" s="17">
        <v>9</v>
      </c>
      <c r="O70" s="17">
        <v>19.191111111111116</v>
      </c>
      <c r="P70" s="17">
        <v>4</v>
      </c>
      <c r="Q70" s="17">
        <v>51.835333333333331</v>
      </c>
      <c r="R70" s="17">
        <v>6</v>
      </c>
      <c r="S70" s="17">
        <v>121.758</v>
      </c>
      <c r="T70" s="17">
        <v>7</v>
      </c>
      <c r="U70" s="17">
        <v>202.73777777777781</v>
      </c>
      <c r="V70" s="17">
        <v>13</v>
      </c>
      <c r="W70" s="17">
        <v>10.788888888888888</v>
      </c>
      <c r="X70" s="17">
        <v>2</v>
      </c>
      <c r="Y70" s="17">
        <v>0</v>
      </c>
      <c r="Z70" s="17">
        <v>0</v>
      </c>
      <c r="AA70" s="17">
        <v>907.32617171717186</v>
      </c>
      <c r="AB70" s="17">
        <v>66</v>
      </c>
    </row>
    <row r="71" spans="1:28" x14ac:dyDescent="0.35">
      <c r="A71" s="10">
        <v>55</v>
      </c>
      <c r="B71" s="11" t="s">
        <v>83</v>
      </c>
      <c r="C71" s="12">
        <f>+'[1]OUE-PLAT'!I9</f>
        <v>0</v>
      </c>
      <c r="D71" s="13">
        <f>+'[1]OUE-PLAT'!J9</f>
        <v>0</v>
      </c>
      <c r="E71" s="14">
        <f>+'[1]OUE-PLAT'!Q9</f>
        <v>0</v>
      </c>
      <c r="F71" s="15">
        <f>+'[1]OUE-PLAT'!R9</f>
        <v>0</v>
      </c>
      <c r="G71" s="14">
        <f>+'[1]OUE-PLAT'!Y9</f>
        <v>101.5</v>
      </c>
      <c r="H71" s="15">
        <f>+'[1]OUE-PLAT'!Z9</f>
        <v>3</v>
      </c>
      <c r="I71" s="12">
        <f>+'[1]OUE-PLAT'!AG9</f>
        <v>146</v>
      </c>
      <c r="J71" s="13">
        <f>+'[1]OUE-PLAT'!AH9</f>
        <v>7</v>
      </c>
      <c r="K71" s="12">
        <v>174.25</v>
      </c>
      <c r="L71" s="13">
        <v>8</v>
      </c>
      <c r="M71" s="12">
        <v>151</v>
      </c>
      <c r="N71" s="13">
        <v>10</v>
      </c>
      <c r="O71" s="12">
        <v>41</v>
      </c>
      <c r="P71" s="13">
        <v>1</v>
      </c>
      <c r="Q71" s="12">
        <v>15.25</v>
      </c>
      <c r="R71" s="13">
        <v>3</v>
      </c>
      <c r="S71" s="12">
        <v>41.25</v>
      </c>
      <c r="T71" s="13">
        <v>4</v>
      </c>
      <c r="U71" s="12">
        <v>152.25</v>
      </c>
      <c r="V71" s="13">
        <v>9</v>
      </c>
      <c r="W71" s="12">
        <v>33.25</v>
      </c>
      <c r="X71" s="13">
        <v>2</v>
      </c>
      <c r="Y71" s="12">
        <v>0</v>
      </c>
      <c r="Z71" s="13">
        <v>0</v>
      </c>
      <c r="AA71" s="14">
        <v>855.75</v>
      </c>
      <c r="AB71" s="15">
        <v>47</v>
      </c>
    </row>
    <row r="72" spans="1:28" x14ac:dyDescent="0.35">
      <c r="A72" s="10">
        <v>56</v>
      </c>
      <c r="B72" s="11" t="s">
        <v>84</v>
      </c>
      <c r="C72" s="12">
        <f>+'[1]OUE-PLAT'!I13</f>
        <v>0</v>
      </c>
      <c r="D72" s="13">
        <f>+'[1]OUE-PLAT'!J13</f>
        <v>0</v>
      </c>
      <c r="E72" s="14">
        <f>+'[1]OUE-PLAT'!Q13</f>
        <v>2.1999999999999997</v>
      </c>
      <c r="F72" s="15">
        <f>+'[1]OUE-PLAT'!R13</f>
        <v>1</v>
      </c>
      <c r="G72" s="14">
        <f>+'[1]OUE-PLAT'!Y13</f>
        <v>44.6</v>
      </c>
      <c r="H72" s="15">
        <f>+'[1]OUE-PLAT'!Z13</f>
        <v>5</v>
      </c>
      <c r="I72" s="12">
        <f>+'[1]OUE-PLAT'!AG13</f>
        <v>95.199999999999989</v>
      </c>
      <c r="J72" s="13">
        <f>+'[1]OUE-PLAT'!AH13</f>
        <v>7</v>
      </c>
      <c r="K72" s="12">
        <v>209.39999999999998</v>
      </c>
      <c r="L72" s="13">
        <v>6</v>
      </c>
      <c r="M72" s="12">
        <v>244.33333333333331</v>
      </c>
      <c r="N72" s="13">
        <v>11</v>
      </c>
      <c r="O72" s="12">
        <v>27.599999999999998</v>
      </c>
      <c r="P72" s="13">
        <v>3</v>
      </c>
      <c r="Q72" s="12">
        <v>4.666666666666667</v>
      </c>
      <c r="R72" s="13">
        <v>1</v>
      </c>
      <c r="S72" s="12">
        <v>60.1</v>
      </c>
      <c r="T72" s="13">
        <v>6</v>
      </c>
      <c r="U72" s="12">
        <v>195.36666666666667</v>
      </c>
      <c r="V72" s="13">
        <v>16</v>
      </c>
      <c r="W72" s="12">
        <v>2.9666666666666663</v>
      </c>
      <c r="X72" s="13">
        <v>2</v>
      </c>
      <c r="Y72" s="12">
        <v>0</v>
      </c>
      <c r="Z72" s="13">
        <v>0</v>
      </c>
      <c r="AA72" s="14">
        <v>886.43333333333339</v>
      </c>
      <c r="AB72" s="15">
        <v>58</v>
      </c>
    </row>
    <row r="73" spans="1:28" x14ac:dyDescent="0.35">
      <c r="A73" s="10">
        <v>57</v>
      </c>
      <c r="B73" s="11" t="s">
        <v>85</v>
      </c>
      <c r="C73" s="12">
        <f>+'[1]OUE-PLAT'!I15</f>
        <v>0</v>
      </c>
      <c r="D73" s="13">
        <f>+'[1]OUE-PLAT'!J15</f>
        <v>0</v>
      </c>
      <c r="E73" s="14">
        <f>+'[1]OUE-PLAT'!Q15</f>
        <v>44.1</v>
      </c>
      <c r="F73" s="15">
        <f>+'[1]OUE-PLAT'!R15</f>
        <v>3</v>
      </c>
      <c r="G73" s="14">
        <f>+'[1]OUE-PLAT'!Y15</f>
        <v>64.7</v>
      </c>
      <c r="H73" s="15">
        <f>+'[1]OUE-PLAT'!Z15</f>
        <v>3</v>
      </c>
      <c r="I73" s="12">
        <f>+'[1]OUE-PLAT'!AG15</f>
        <v>161.30000000000001</v>
      </c>
      <c r="J73" s="13">
        <f>+'[1]OUE-PLAT'!AH15</f>
        <v>6</v>
      </c>
      <c r="K73" s="12">
        <v>288</v>
      </c>
      <c r="L73" s="13">
        <v>8</v>
      </c>
      <c r="M73" s="12">
        <v>215.39999999999998</v>
      </c>
      <c r="N73" s="13">
        <v>11</v>
      </c>
      <c r="O73" s="12">
        <v>38.700000000000003</v>
      </c>
      <c r="P73" s="13">
        <v>3</v>
      </c>
      <c r="Q73" s="12">
        <v>40.1</v>
      </c>
      <c r="R73" s="13">
        <v>2</v>
      </c>
      <c r="S73" s="12">
        <v>82.5</v>
      </c>
      <c r="T73" s="13">
        <v>6</v>
      </c>
      <c r="U73" s="12">
        <v>328.1</v>
      </c>
      <c r="V73" s="13">
        <v>10</v>
      </c>
      <c r="W73" s="12">
        <v>58.4</v>
      </c>
      <c r="X73" s="13">
        <v>5</v>
      </c>
      <c r="Y73" s="12">
        <v>0</v>
      </c>
      <c r="Z73" s="13">
        <v>0</v>
      </c>
      <c r="AA73" s="14">
        <v>1321.3000000000002</v>
      </c>
      <c r="AB73" s="15">
        <v>57</v>
      </c>
    </row>
    <row r="74" spans="1:28" x14ac:dyDescent="0.35">
      <c r="A74" s="10">
        <v>58</v>
      </c>
      <c r="B74" s="11" t="s">
        <v>86</v>
      </c>
      <c r="C74" s="12">
        <f>+'[1]OUE-PLAT'!I21</f>
        <v>0</v>
      </c>
      <c r="D74" s="13">
        <f>+'[1]OUE-PLAT'!J21</f>
        <v>0</v>
      </c>
      <c r="E74" s="14">
        <f>+'[1]OUE-PLAT'!Q21</f>
        <v>29.95</v>
      </c>
      <c r="F74" s="15">
        <f>+'[1]OUE-PLAT'!R21</f>
        <v>2</v>
      </c>
      <c r="G74" s="14">
        <f>+'[1]OUE-PLAT'!Y21</f>
        <v>40.75</v>
      </c>
      <c r="H74" s="15">
        <f>+'[1]OUE-PLAT'!Z21</f>
        <v>4</v>
      </c>
      <c r="I74" s="12">
        <f>+'[1]OUE-PLAT'!AG21</f>
        <v>89.9</v>
      </c>
      <c r="J74" s="13">
        <f>+'[1]OUE-PLAT'!AH21</f>
        <v>6</v>
      </c>
      <c r="K74" s="12">
        <v>214.85</v>
      </c>
      <c r="L74" s="13">
        <v>9</v>
      </c>
      <c r="M74" s="12">
        <v>285</v>
      </c>
      <c r="N74" s="13">
        <v>10</v>
      </c>
      <c r="O74" s="12">
        <v>20.5</v>
      </c>
      <c r="P74" s="13">
        <v>1</v>
      </c>
      <c r="Q74" s="12">
        <v>25.4</v>
      </c>
      <c r="R74" s="13">
        <v>4</v>
      </c>
      <c r="S74" s="12">
        <v>64.05</v>
      </c>
      <c r="T74" s="13">
        <v>7</v>
      </c>
      <c r="U74" s="12">
        <v>211.25</v>
      </c>
      <c r="V74" s="13">
        <v>12</v>
      </c>
      <c r="W74" s="12">
        <v>22.3</v>
      </c>
      <c r="X74" s="13">
        <v>3</v>
      </c>
      <c r="Y74" s="12">
        <v>0</v>
      </c>
      <c r="Z74" s="13">
        <v>0</v>
      </c>
      <c r="AA74" s="14">
        <v>1003.9499999999999</v>
      </c>
      <c r="AB74" s="15">
        <v>58</v>
      </c>
    </row>
    <row r="75" spans="1:28" x14ac:dyDescent="0.35">
      <c r="A75" s="10">
        <v>59</v>
      </c>
      <c r="B75" s="11" t="s">
        <v>87</v>
      </c>
      <c r="C75" s="12">
        <f>+'[1]OUE-PLAT'!I18</f>
        <v>0</v>
      </c>
      <c r="D75" s="13">
        <f>+'[1]OUE-PLAT'!J18</f>
        <v>0</v>
      </c>
      <c r="E75" s="14">
        <f>+'[1]OUE-PLAT'!Q18</f>
        <v>0</v>
      </c>
      <c r="F75" s="15">
        <f>+'[1]OUE-PLAT'!R18</f>
        <v>0</v>
      </c>
      <c r="G75" s="14">
        <f>+'[1]OUE-PLAT'!Y18</f>
        <v>28.2</v>
      </c>
      <c r="H75" s="15">
        <f>+'[1]OUE-PLAT'!Z18</f>
        <v>3</v>
      </c>
      <c r="I75" s="12">
        <f>+'[1]OUE-PLAT'!AG18</f>
        <v>99.7</v>
      </c>
      <c r="J75" s="13">
        <f>+'[1]OUE-PLAT'!AH18</f>
        <v>7</v>
      </c>
      <c r="K75" s="12">
        <v>214</v>
      </c>
      <c r="L75" s="13">
        <v>8</v>
      </c>
      <c r="M75" s="12">
        <v>165.5</v>
      </c>
      <c r="N75" s="13">
        <v>8</v>
      </c>
      <c r="O75" s="12">
        <v>25</v>
      </c>
      <c r="P75" s="13">
        <v>1</v>
      </c>
      <c r="Q75" s="12">
        <v>19.63</v>
      </c>
      <c r="R75" s="13">
        <v>4</v>
      </c>
      <c r="S75" s="12">
        <v>29.2</v>
      </c>
      <c r="T75" s="13">
        <v>7</v>
      </c>
      <c r="U75" s="12">
        <v>156.5</v>
      </c>
      <c r="V75" s="13">
        <v>10</v>
      </c>
      <c r="W75" s="12">
        <v>17.5</v>
      </c>
      <c r="X75" s="13">
        <v>2</v>
      </c>
      <c r="Y75" s="12">
        <v>0</v>
      </c>
      <c r="Z75" s="13">
        <v>0</v>
      </c>
      <c r="AA75" s="14">
        <v>755.23</v>
      </c>
      <c r="AB75" s="15">
        <v>50</v>
      </c>
    </row>
    <row r="76" spans="1:28" x14ac:dyDescent="0.35">
      <c r="A76" s="10">
        <v>60</v>
      </c>
      <c r="B76" s="11" t="s">
        <v>88</v>
      </c>
      <c r="C76" s="12">
        <f>+'[1]OUE-PLAT'!I26</f>
        <v>0</v>
      </c>
      <c r="D76" s="13">
        <f>+'[1]OUE-PLAT'!J26</f>
        <v>0</v>
      </c>
      <c r="E76" s="14">
        <f>+'[1]OUE-PLAT'!Q26</f>
        <v>14.8</v>
      </c>
      <c r="F76" s="15">
        <f>+'[1]OUE-PLAT'!R26</f>
        <v>1</v>
      </c>
      <c r="G76" s="14">
        <f>+'[1]OUE-PLAT'!Y26</f>
        <v>78.45</v>
      </c>
      <c r="H76" s="15">
        <f>+'[1]OUE-PLAT'!Z26</f>
        <v>3</v>
      </c>
      <c r="I76" s="12">
        <f>+'[1]OUE-PLAT'!AG26</f>
        <v>158.94999999999999</v>
      </c>
      <c r="J76" s="13">
        <f>+'[1]OUE-PLAT'!AH26</f>
        <v>4</v>
      </c>
      <c r="K76" s="12">
        <v>260.14999999999998</v>
      </c>
      <c r="L76" s="13">
        <v>6</v>
      </c>
      <c r="M76" s="12">
        <v>239.09999999999997</v>
      </c>
      <c r="N76" s="13">
        <v>8</v>
      </c>
      <c r="O76" s="12">
        <v>13.625</v>
      </c>
      <c r="P76" s="13">
        <v>1</v>
      </c>
      <c r="Q76" s="12">
        <v>51.625</v>
      </c>
      <c r="R76" s="13">
        <v>3</v>
      </c>
      <c r="S76" s="12">
        <v>50.7</v>
      </c>
      <c r="T76" s="13">
        <v>5</v>
      </c>
      <c r="U76" s="12">
        <v>224.51500000000001</v>
      </c>
      <c r="V76" s="13">
        <v>11</v>
      </c>
      <c r="W76" s="12">
        <v>4.5</v>
      </c>
      <c r="X76" s="13">
        <v>1</v>
      </c>
      <c r="Y76" s="12">
        <v>0</v>
      </c>
      <c r="Z76" s="13">
        <v>0</v>
      </c>
      <c r="AA76" s="14">
        <v>1096.415</v>
      </c>
      <c r="AB76" s="15">
        <v>43</v>
      </c>
    </row>
    <row r="77" spans="1:28" x14ac:dyDescent="0.35">
      <c r="A77" s="10">
        <v>61</v>
      </c>
      <c r="B77" s="11" t="s">
        <v>89</v>
      </c>
      <c r="C77" s="12">
        <f>+'[1]OUE-PLAT'!I29</f>
        <v>0.2</v>
      </c>
      <c r="D77" s="13">
        <f>+'[1]OUE-PLAT'!J29</f>
        <v>1</v>
      </c>
      <c r="E77" s="14">
        <f>+'[1]OUE-PLAT'!Q29</f>
        <v>51</v>
      </c>
      <c r="F77" s="15">
        <f>+'[1]OUE-PLAT'!R29</f>
        <v>2</v>
      </c>
      <c r="G77" s="14">
        <f>+'[1]OUE-PLAT'!Y29</f>
        <v>44.6</v>
      </c>
      <c r="H77" s="15">
        <f>+'[1]OUE-PLAT'!Z29</f>
        <v>4</v>
      </c>
      <c r="I77" s="12">
        <f>+'[1]OUE-PLAT'!AG29</f>
        <v>125.19999999999999</v>
      </c>
      <c r="J77" s="13">
        <f>+'[1]OUE-PLAT'!AH29</f>
        <v>8</v>
      </c>
      <c r="K77" s="12">
        <v>114.30000000000001</v>
      </c>
      <c r="L77" s="13">
        <v>8</v>
      </c>
      <c r="M77" s="12">
        <v>202.8</v>
      </c>
      <c r="N77" s="13">
        <v>6</v>
      </c>
      <c r="O77" s="12">
        <v>14.3</v>
      </c>
      <c r="P77" s="13">
        <v>2</v>
      </c>
      <c r="Q77" s="12">
        <v>27.299999999999997</v>
      </c>
      <c r="R77" s="13">
        <v>6</v>
      </c>
      <c r="S77" s="12">
        <v>27.1</v>
      </c>
      <c r="T77" s="13">
        <v>6</v>
      </c>
      <c r="U77" s="12">
        <v>127.5</v>
      </c>
      <c r="V77" s="13">
        <v>10</v>
      </c>
      <c r="W77" s="12">
        <v>17.8</v>
      </c>
      <c r="X77" s="13">
        <v>2</v>
      </c>
      <c r="Y77" s="12">
        <v>0</v>
      </c>
      <c r="Z77" s="13">
        <v>0</v>
      </c>
      <c r="AA77" s="14">
        <v>752.09999999999991</v>
      </c>
      <c r="AB77" s="15">
        <v>55</v>
      </c>
    </row>
    <row r="78" spans="1:28" ht="15" customHeight="1" x14ac:dyDescent="0.35">
      <c r="A78" s="10">
        <v>62</v>
      </c>
      <c r="B78" s="21" t="s">
        <v>90</v>
      </c>
      <c r="C78" s="12">
        <f>+'[1]OUE-PLAT'!I32</f>
        <v>0</v>
      </c>
      <c r="D78" s="13">
        <f>+'[1]OUE-PLAT'!J32</f>
        <v>0</v>
      </c>
      <c r="E78" s="14">
        <f>+'[1]OUE-PLAT'!Q32</f>
        <v>1.25</v>
      </c>
      <c r="F78" s="15">
        <f>+'[1]OUE-PLAT'!R32</f>
        <v>1</v>
      </c>
      <c r="G78" s="14">
        <f>+'[1]OUE-PLAT'!Y32</f>
        <v>105</v>
      </c>
      <c r="H78" s="15">
        <f>+'[1]OUE-PLAT'!Z32</f>
        <v>4</v>
      </c>
      <c r="I78" s="12">
        <f>+'[1]OUE-PLAT'!AG32</f>
        <v>157</v>
      </c>
      <c r="J78" s="13">
        <f>+'[1]OUE-PLAT'!AH32</f>
        <v>7</v>
      </c>
      <c r="K78" s="12">
        <v>212</v>
      </c>
      <c r="L78" s="13">
        <v>8</v>
      </c>
      <c r="M78" s="12">
        <v>197</v>
      </c>
      <c r="N78" s="13">
        <v>11</v>
      </c>
      <c r="O78" s="12">
        <v>41.5</v>
      </c>
      <c r="P78" s="13">
        <v>1</v>
      </c>
      <c r="Q78" s="12">
        <v>45.25</v>
      </c>
      <c r="R78" s="13">
        <v>4</v>
      </c>
      <c r="S78" s="12">
        <v>29.5</v>
      </c>
      <c r="T78" s="13">
        <v>5</v>
      </c>
      <c r="U78" s="12">
        <v>155.75</v>
      </c>
      <c r="V78" s="13">
        <v>10</v>
      </c>
      <c r="W78" s="12">
        <v>42.75</v>
      </c>
      <c r="X78" s="13">
        <v>4</v>
      </c>
      <c r="Y78" s="12">
        <v>0</v>
      </c>
      <c r="Z78" s="13">
        <v>0</v>
      </c>
      <c r="AA78" s="14">
        <v>987</v>
      </c>
      <c r="AB78" s="15">
        <v>55</v>
      </c>
    </row>
    <row r="79" spans="1:28" ht="15" customHeight="1" x14ac:dyDescent="0.35">
      <c r="A79" s="10">
        <v>63</v>
      </c>
      <c r="B79" s="21" t="s">
        <v>91</v>
      </c>
      <c r="C79" s="17">
        <f>+'[1]OUE-PLAT'!I35</f>
        <v>9.65</v>
      </c>
      <c r="D79" s="17">
        <f>+'[1]OUE-PLAT'!J35</f>
        <v>0.5</v>
      </c>
      <c r="E79" s="17">
        <f>+'[1]OUE-PLAT'!Q35</f>
        <v>5.25</v>
      </c>
      <c r="F79" s="17">
        <f>+'[1]OUE-PLAT'!R35</f>
        <v>0.5</v>
      </c>
      <c r="G79" s="17">
        <f>+'[1]OUE-PLAT'!Y35</f>
        <v>119.15</v>
      </c>
      <c r="H79" s="17">
        <f>+'[1]OUE-PLAT'!Z35</f>
        <v>3.5</v>
      </c>
      <c r="I79" s="17">
        <f>+'[1]OUE-PLAT'!AG35</f>
        <v>174.7</v>
      </c>
      <c r="J79" s="17">
        <f>+'[1]OUE-PLAT'!AH35</f>
        <v>7.5</v>
      </c>
      <c r="K79" s="17">
        <v>273.05</v>
      </c>
      <c r="L79" s="17">
        <v>8.5</v>
      </c>
      <c r="M79" s="17">
        <v>356.7</v>
      </c>
      <c r="N79" s="17">
        <v>13.5</v>
      </c>
      <c r="O79" s="17">
        <v>65.349999999999994</v>
      </c>
      <c r="P79" s="17">
        <v>2</v>
      </c>
      <c r="Q79" s="17">
        <v>84.2</v>
      </c>
      <c r="R79" s="17">
        <v>5</v>
      </c>
      <c r="S79" s="17">
        <v>78.45</v>
      </c>
      <c r="T79" s="17">
        <v>3</v>
      </c>
      <c r="U79" s="17">
        <v>302.05</v>
      </c>
      <c r="V79" s="17">
        <v>11.5</v>
      </c>
      <c r="W79" s="17">
        <v>23.799999999999997</v>
      </c>
      <c r="X79" s="17">
        <v>2.5</v>
      </c>
      <c r="Y79" s="17">
        <v>0</v>
      </c>
      <c r="Z79" s="17">
        <v>0</v>
      </c>
      <c r="AA79" s="17">
        <v>1492.35</v>
      </c>
      <c r="AB79" s="17">
        <v>58</v>
      </c>
    </row>
    <row r="80" spans="1:28" ht="21.75" customHeight="1" x14ac:dyDescent="0.35">
      <c r="A80" s="16" t="s">
        <v>92</v>
      </c>
      <c r="B80" s="16"/>
      <c r="C80" s="17">
        <f>+'[1]OUE-PLAT'!I36</f>
        <v>1.2866666666666666</v>
      </c>
      <c r="D80" s="17">
        <f>+'[1]OUE-PLAT'!J36</f>
        <v>6.6666666666666666E-2</v>
      </c>
      <c r="E80" s="17">
        <f>+'[1]OUE-PLAT'!Q36</f>
        <v>10.213333333333333</v>
      </c>
      <c r="F80" s="17">
        <f>+'[1]OUE-PLAT'!R36</f>
        <v>0.8</v>
      </c>
      <c r="G80" s="17">
        <f>+'[1]OUE-PLAT'!Y36</f>
        <v>74.426666666666662</v>
      </c>
      <c r="H80" s="17">
        <f>+'[1]OUE-PLAT'!Z36</f>
        <v>3.6</v>
      </c>
      <c r="I80" s="17">
        <f>+'[1]OUE-PLAT'!AG36</f>
        <v>133.31333333333333</v>
      </c>
      <c r="J80" s="17">
        <f>+'[1]OUE-PLAT'!AH36</f>
        <v>6.2666666666666666</v>
      </c>
      <c r="K80" s="17">
        <v>226.58666666666667</v>
      </c>
      <c r="L80" s="17">
        <v>7.4</v>
      </c>
      <c r="M80" s="17">
        <v>238.1</v>
      </c>
      <c r="N80" s="17">
        <v>9.8000000000000007</v>
      </c>
      <c r="O80" s="17">
        <v>34.03</v>
      </c>
      <c r="P80" s="17">
        <v>1.6</v>
      </c>
      <c r="Q80" s="17">
        <v>34.478666666666662</v>
      </c>
      <c r="R80" s="17">
        <v>2.7333333333333334</v>
      </c>
      <c r="S80" s="17">
        <v>54.660000000000004</v>
      </c>
      <c r="T80" s="17">
        <v>4.5999999999999996</v>
      </c>
      <c r="U80" s="17">
        <v>210.822</v>
      </c>
      <c r="V80" s="17">
        <v>11.2</v>
      </c>
      <c r="W80" s="17">
        <v>22.533333333333335</v>
      </c>
      <c r="X80" s="17">
        <v>2</v>
      </c>
      <c r="Y80" s="17">
        <v>0</v>
      </c>
      <c r="Z80" s="17">
        <v>0</v>
      </c>
      <c r="AA80" s="17">
        <v>1040.4506666666666</v>
      </c>
      <c r="AB80" s="17">
        <v>50.066666666666663</v>
      </c>
    </row>
    <row r="81" spans="1:28" x14ac:dyDescent="0.35">
      <c r="A81" s="10">
        <v>64</v>
      </c>
      <c r="B81" s="11" t="s">
        <v>93</v>
      </c>
      <c r="C81" s="12">
        <f>+'[1]OUE-PLAT'!I41</f>
        <v>0</v>
      </c>
      <c r="D81" s="13">
        <f>+'[1]OUE-PLAT'!J41</f>
        <v>0</v>
      </c>
      <c r="E81" s="14">
        <f>+'[1]OUE-PLAT'!Q41</f>
        <v>23.333333333333332</v>
      </c>
      <c r="F81" s="15">
        <f>+'[1]OUE-PLAT'!R41</f>
        <v>1</v>
      </c>
      <c r="G81" s="14">
        <f>+'[1]OUE-PLAT'!Y41</f>
        <v>47.333333333333329</v>
      </c>
      <c r="H81" s="15">
        <f>+'[1]OUE-PLAT'!Z41</f>
        <v>5</v>
      </c>
      <c r="I81" s="12">
        <f>+'[1]OUE-PLAT'!AG41</f>
        <v>178.83333333333331</v>
      </c>
      <c r="J81" s="13">
        <f>+'[1]OUE-PLAT'!AH41</f>
        <v>6</v>
      </c>
      <c r="K81" s="12">
        <v>226.11</v>
      </c>
      <c r="L81" s="13">
        <v>8</v>
      </c>
      <c r="M81" s="12">
        <v>251.33333333333331</v>
      </c>
      <c r="N81" s="13">
        <v>11</v>
      </c>
      <c r="O81" s="12">
        <v>14.166666666666666</v>
      </c>
      <c r="P81" s="13">
        <v>4</v>
      </c>
      <c r="Q81" s="12">
        <v>39</v>
      </c>
      <c r="R81" s="13">
        <v>3</v>
      </c>
      <c r="S81" s="12">
        <v>72.016666666666666</v>
      </c>
      <c r="T81" s="13">
        <v>7</v>
      </c>
      <c r="U81" s="12">
        <v>249.85</v>
      </c>
      <c r="V81" s="13">
        <v>12</v>
      </c>
      <c r="W81" s="12">
        <v>0</v>
      </c>
      <c r="X81" s="13">
        <v>0</v>
      </c>
      <c r="Y81" s="12">
        <v>0</v>
      </c>
      <c r="Z81" s="13">
        <v>0</v>
      </c>
      <c r="AA81" s="14">
        <v>1101.9766666666667</v>
      </c>
      <c r="AB81" s="15">
        <v>57</v>
      </c>
    </row>
    <row r="82" spans="1:28" x14ac:dyDescent="0.35">
      <c r="A82" s="10">
        <v>65</v>
      </c>
      <c r="B82" s="11" t="s">
        <v>94</v>
      </c>
      <c r="C82" s="12">
        <f>+'[1]OUE-PLAT'!I46</f>
        <v>0</v>
      </c>
      <c r="D82" s="13">
        <f>+'[1]OUE-PLAT'!J46</f>
        <v>0</v>
      </c>
      <c r="E82" s="14">
        <f>+'[1]OUE-PLAT'!Q46</f>
        <v>0</v>
      </c>
      <c r="F82" s="15">
        <f>+'[1]OUE-PLAT'!R46</f>
        <v>0</v>
      </c>
      <c r="G82" s="14">
        <f>+'[1]OUE-PLAT'!Y46</f>
        <v>15</v>
      </c>
      <c r="H82" s="15">
        <f>+'[1]OUE-PLAT'!Z46</f>
        <v>2</v>
      </c>
      <c r="I82" s="12">
        <f>+'[1]OUE-PLAT'!AG46</f>
        <v>98</v>
      </c>
      <c r="J82" s="13">
        <f>+'[1]OUE-PLAT'!AH46</f>
        <v>4</v>
      </c>
      <c r="K82" s="12">
        <v>307.7</v>
      </c>
      <c r="L82" s="13">
        <v>6</v>
      </c>
      <c r="M82" s="12">
        <v>341.1</v>
      </c>
      <c r="N82" s="13">
        <v>8</v>
      </c>
      <c r="O82" s="12">
        <v>85</v>
      </c>
      <c r="P82" s="13">
        <v>4</v>
      </c>
      <c r="Q82" s="12">
        <v>75.5</v>
      </c>
      <c r="R82" s="13">
        <v>5</v>
      </c>
      <c r="S82" s="12">
        <v>104</v>
      </c>
      <c r="T82" s="13">
        <v>6</v>
      </c>
      <c r="U82" s="12">
        <v>357.5</v>
      </c>
      <c r="V82" s="13">
        <v>12</v>
      </c>
      <c r="W82" s="12">
        <v>10</v>
      </c>
      <c r="X82" s="13">
        <v>2</v>
      </c>
      <c r="Y82" s="12">
        <v>0</v>
      </c>
      <c r="Z82" s="13">
        <v>0</v>
      </c>
      <c r="AA82" s="14">
        <v>1393.8</v>
      </c>
      <c r="AB82" s="15">
        <v>49</v>
      </c>
    </row>
    <row r="83" spans="1:28" x14ac:dyDescent="0.35">
      <c r="A83" s="10">
        <v>66</v>
      </c>
      <c r="B83" s="11" t="s">
        <v>95</v>
      </c>
      <c r="C83" s="12">
        <f>+'[1]OUE-PLAT'!I50</f>
        <v>3.5</v>
      </c>
      <c r="D83" s="13">
        <f>+'[1]OUE-PLAT'!J50</f>
        <v>1</v>
      </c>
      <c r="E83" s="14">
        <f>+'[1]OUE-PLAT'!Q50</f>
        <v>28.166666666666664</v>
      </c>
      <c r="F83" s="15">
        <f>+'[1]OUE-PLAT'!R50</f>
        <v>3</v>
      </c>
      <c r="G83" s="14">
        <f>+'[1]OUE-PLAT'!Y50</f>
        <v>101.66666666666666</v>
      </c>
      <c r="H83" s="15">
        <f>+'[1]OUE-PLAT'!Z50</f>
        <v>9</v>
      </c>
      <c r="I83" s="12">
        <f>+'[1]OUE-PLAT'!AG50</f>
        <v>79.5</v>
      </c>
      <c r="J83" s="13">
        <f>+'[1]OUE-PLAT'!AH50</f>
        <v>7</v>
      </c>
      <c r="K83" s="12">
        <v>240.25</v>
      </c>
      <c r="L83" s="13">
        <v>9</v>
      </c>
      <c r="M83" s="12">
        <v>231.83333333333331</v>
      </c>
      <c r="N83" s="13">
        <v>9</v>
      </c>
      <c r="O83" s="12">
        <v>44.5</v>
      </c>
      <c r="P83" s="13">
        <v>4</v>
      </c>
      <c r="Q83" s="12">
        <v>117.33333333333334</v>
      </c>
      <c r="R83" s="13">
        <v>7</v>
      </c>
      <c r="S83" s="12">
        <v>125.25</v>
      </c>
      <c r="T83" s="13">
        <v>8</v>
      </c>
      <c r="U83" s="12">
        <v>207.83333333333334</v>
      </c>
      <c r="V83" s="13">
        <v>11</v>
      </c>
      <c r="W83" s="12">
        <v>1.6666666666666667</v>
      </c>
      <c r="X83" s="13">
        <v>1</v>
      </c>
      <c r="Y83" s="12">
        <v>0</v>
      </c>
      <c r="Z83" s="13">
        <v>0</v>
      </c>
      <c r="AA83" s="14">
        <v>1181.5</v>
      </c>
      <c r="AB83" s="15">
        <v>69</v>
      </c>
    </row>
    <row r="84" spans="1:28" x14ac:dyDescent="0.35">
      <c r="A84" s="10">
        <v>67</v>
      </c>
      <c r="B84" s="11" t="s">
        <v>96</v>
      </c>
      <c r="C84" s="12">
        <f>+'[1]OUE-PLAT'!I55</f>
        <v>3.75</v>
      </c>
      <c r="D84" s="13">
        <f>+'[1]OUE-PLAT'!J55</f>
        <v>1</v>
      </c>
      <c r="E84" s="14">
        <f>+'[1]OUE-PLAT'!Q55</f>
        <v>20</v>
      </c>
      <c r="F84" s="15">
        <f>+'[1]OUE-PLAT'!R55</f>
        <v>2</v>
      </c>
      <c r="G84" s="14">
        <f>+'[1]OUE-PLAT'!Y55</f>
        <v>63.666666666666671</v>
      </c>
      <c r="H84" s="15">
        <f>+'[1]OUE-PLAT'!Z55</f>
        <v>5</v>
      </c>
      <c r="I84" s="12">
        <f>+'[1]OUE-PLAT'!AG55</f>
        <v>171.66666666666666</v>
      </c>
      <c r="J84" s="13">
        <f>+'[1]OUE-PLAT'!AH55</f>
        <v>7</v>
      </c>
      <c r="K84" s="12">
        <v>285.66666666666663</v>
      </c>
      <c r="L84" s="13">
        <v>10</v>
      </c>
      <c r="M84" s="12">
        <v>240.66666666666669</v>
      </c>
      <c r="N84" s="13">
        <v>8</v>
      </c>
      <c r="O84" s="12">
        <v>20.833333333333332</v>
      </c>
      <c r="P84" s="13">
        <v>4</v>
      </c>
      <c r="Q84" s="12">
        <v>54.5</v>
      </c>
      <c r="R84" s="13">
        <v>4</v>
      </c>
      <c r="S84" s="12">
        <v>117.66666666666666</v>
      </c>
      <c r="T84" s="13">
        <v>8</v>
      </c>
      <c r="U84" s="12">
        <v>269.66666666666669</v>
      </c>
      <c r="V84" s="13">
        <v>12</v>
      </c>
      <c r="W84" s="12">
        <v>0</v>
      </c>
      <c r="X84" s="13">
        <v>0</v>
      </c>
      <c r="Y84" s="12">
        <v>0</v>
      </c>
      <c r="Z84" s="13">
        <v>0</v>
      </c>
      <c r="AA84" s="14">
        <v>1248.0833333333335</v>
      </c>
      <c r="AB84" s="15">
        <v>61</v>
      </c>
    </row>
    <row r="85" spans="1:28" x14ac:dyDescent="0.35">
      <c r="A85" s="10">
        <v>68</v>
      </c>
      <c r="B85" s="11" t="s">
        <v>97</v>
      </c>
      <c r="C85" s="12">
        <f>+'[1]OUE-PLAT'!I61</f>
        <v>6.18</v>
      </c>
      <c r="D85" s="13">
        <f>+'[1]OUE-PLAT'!J61</f>
        <v>2</v>
      </c>
      <c r="E85" s="14">
        <f>+'[1]OUE-PLAT'!Q61</f>
        <v>27.41</v>
      </c>
      <c r="F85" s="15">
        <f>+'[1]OUE-PLAT'!R61</f>
        <v>3</v>
      </c>
      <c r="G85" s="14">
        <f>+'[1]OUE-PLAT'!Y61</f>
        <v>51.099999999999994</v>
      </c>
      <c r="H85" s="15">
        <f>+'[1]OUE-PLAT'!Z61</f>
        <v>5</v>
      </c>
      <c r="I85" s="12">
        <f>+'[1]OUE-PLAT'!AG61</f>
        <v>113.575</v>
      </c>
      <c r="J85" s="13">
        <f>+'[1]OUE-PLAT'!AH61</f>
        <v>7</v>
      </c>
      <c r="K85" s="12">
        <v>199.23000000000002</v>
      </c>
      <c r="L85" s="13">
        <v>8</v>
      </c>
      <c r="M85" s="12">
        <v>229.6</v>
      </c>
      <c r="N85" s="13">
        <v>8</v>
      </c>
      <c r="O85" s="12">
        <v>19.96</v>
      </c>
      <c r="P85" s="13">
        <v>4</v>
      </c>
      <c r="Q85" s="12">
        <v>25.439999999999998</v>
      </c>
      <c r="R85" s="13">
        <v>6</v>
      </c>
      <c r="S85" s="12">
        <v>116.67999999999999</v>
      </c>
      <c r="T85" s="13">
        <v>7</v>
      </c>
      <c r="U85" s="12">
        <v>228.84399999999999</v>
      </c>
      <c r="V85" s="13">
        <v>13</v>
      </c>
      <c r="W85" s="12">
        <v>1.1000000000000001</v>
      </c>
      <c r="X85" s="13">
        <v>1</v>
      </c>
      <c r="Y85" s="12">
        <v>0</v>
      </c>
      <c r="Z85" s="13">
        <v>0</v>
      </c>
      <c r="AA85" s="14">
        <v>1019.119</v>
      </c>
      <c r="AB85" s="15">
        <v>64</v>
      </c>
    </row>
    <row r="86" spans="1:28" ht="21" customHeight="1" x14ac:dyDescent="0.35">
      <c r="A86" s="16" t="s">
        <v>98</v>
      </c>
      <c r="B86" s="16"/>
      <c r="C86" s="17">
        <f>+'[1]OUE-PLAT'!I62</f>
        <v>3.5249999999999999</v>
      </c>
      <c r="D86" s="17">
        <f>+'[1]OUE-PLAT'!J62</f>
        <v>2</v>
      </c>
      <c r="E86" s="17">
        <f>+'[1]OUE-PLAT'!Q62</f>
        <v>22.938749999999999</v>
      </c>
      <c r="F86" s="17">
        <f>+'[1]OUE-PLAT'!R62</f>
        <v>2</v>
      </c>
      <c r="G86" s="17">
        <f>+'[1]OUE-PLAT'!Y62</f>
        <v>60.952380952380949</v>
      </c>
      <c r="H86" s="17">
        <f>+'[1]OUE-PLAT'!Z62</f>
        <v>6</v>
      </c>
      <c r="I86" s="17">
        <f>+'[1]OUE-PLAT'!AG62</f>
        <v>131.59285714285716</v>
      </c>
      <c r="J86" s="17">
        <f>+'[1]OUE-PLAT'!AH62</f>
        <v>6</v>
      </c>
      <c r="K86" s="17">
        <v>237.26476190476194</v>
      </c>
      <c r="L86" s="17">
        <v>9</v>
      </c>
      <c r="M86" s="17">
        <v>244.04</v>
      </c>
      <c r="N86" s="17">
        <v>10</v>
      </c>
      <c r="O86" s="17">
        <v>28.22</v>
      </c>
      <c r="P86" s="17">
        <v>5</v>
      </c>
      <c r="Q86" s="17">
        <v>55.680000000000007</v>
      </c>
      <c r="R86" s="17">
        <v>6</v>
      </c>
      <c r="S86" s="17">
        <v>108.81333333333333</v>
      </c>
      <c r="T86" s="17">
        <v>8</v>
      </c>
      <c r="U86" s="17">
        <v>245.58466666666664</v>
      </c>
      <c r="V86" s="17">
        <v>13</v>
      </c>
      <c r="W86" s="17">
        <v>1.3666666666666667</v>
      </c>
      <c r="X86" s="17">
        <v>2</v>
      </c>
      <c r="Y86" s="17">
        <v>0</v>
      </c>
      <c r="Z86" s="17">
        <v>0</v>
      </c>
      <c r="AA86" s="17">
        <v>1139.9784166666666</v>
      </c>
      <c r="AB86" s="17">
        <v>69</v>
      </c>
    </row>
    <row r="87" spans="1:28" ht="21" customHeight="1" x14ac:dyDescent="0.35">
      <c r="A87" s="16" t="s">
        <v>99</v>
      </c>
      <c r="B87" s="16"/>
      <c r="C87" s="17">
        <f>+'[1]OUE-PLAT'!I63</f>
        <v>2.3718750000000002</v>
      </c>
      <c r="D87" s="17">
        <f>+'[1]OUE-PLAT'!J63</f>
        <v>0.28125</v>
      </c>
      <c r="E87" s="17">
        <f>+'[1]OUE-PLAT'!Q63</f>
        <v>17.478125000000002</v>
      </c>
      <c r="F87" s="17">
        <f>+'[1]OUE-PLAT'!R63</f>
        <v>1.1875</v>
      </c>
      <c r="G87" s="17">
        <f>+'[1]OUE-PLAT'!Y63</f>
        <v>63.7</v>
      </c>
      <c r="H87" s="17">
        <f>+'[1]OUE-PLAT'!Z63</f>
        <v>3.8125</v>
      </c>
      <c r="I87" s="17">
        <f>+'[1]OUE-PLAT'!AG63</f>
        <v>123.97500000000001</v>
      </c>
      <c r="J87" s="17">
        <f>+'[1]OUE-PLAT'!AH63</f>
        <v>5.625</v>
      </c>
      <c r="K87" s="17">
        <v>215.93687500000001</v>
      </c>
      <c r="L87" s="17">
        <v>7.0625</v>
      </c>
      <c r="M87" s="17">
        <v>232.34062500000002</v>
      </c>
      <c r="N87" s="17">
        <v>8.5625</v>
      </c>
      <c r="O87" s="17">
        <v>29.626562500000002</v>
      </c>
      <c r="P87" s="17">
        <v>2.34375</v>
      </c>
      <c r="Q87" s="17">
        <v>43.115000000000002</v>
      </c>
      <c r="R87" s="17">
        <v>3.53125</v>
      </c>
      <c r="S87" s="17">
        <v>77.1328125</v>
      </c>
      <c r="T87" s="17">
        <v>5.375</v>
      </c>
      <c r="U87" s="17">
        <v>217.92500000000001</v>
      </c>
      <c r="V87" s="17">
        <v>10.8125</v>
      </c>
      <c r="W87" s="17">
        <v>11.759374999999999</v>
      </c>
      <c r="X87" s="17">
        <v>1.1875</v>
      </c>
      <c r="Y87" s="17">
        <v>0</v>
      </c>
      <c r="Z87" s="17">
        <v>0</v>
      </c>
      <c r="AA87" s="17">
        <v>1035.3612500000002</v>
      </c>
      <c r="AB87" s="17">
        <v>49.78125</v>
      </c>
    </row>
    <row r="88" spans="1:28" x14ac:dyDescent="0.35">
      <c r="A88" s="10">
        <v>69</v>
      </c>
      <c r="B88" s="11" t="s">
        <v>100</v>
      </c>
      <c r="C88" s="12">
        <f>+'[1]ATL-LITO'!I9</f>
        <v>0</v>
      </c>
      <c r="D88" s="13">
        <f>+'[1]ATL-LITO'!J9</f>
        <v>0</v>
      </c>
      <c r="E88" s="14">
        <f>+'[1]ATL-LITO'!Q9</f>
        <v>0</v>
      </c>
      <c r="F88" s="15">
        <f>+'[1]ATL-LITO'!R9</f>
        <v>0</v>
      </c>
      <c r="G88" s="14">
        <f>+'[1]ATL-LITO'!Y9</f>
        <v>85</v>
      </c>
      <c r="H88" s="15">
        <f>+'[1]ATL-LITO'!Z9</f>
        <v>5</v>
      </c>
      <c r="I88" s="12">
        <f>+'[1]ATL-LITO'!AG9</f>
        <v>85</v>
      </c>
      <c r="J88" s="13">
        <f>+'[1]ATL-LITO'!AH9</f>
        <v>5</v>
      </c>
      <c r="K88" s="12">
        <v>153</v>
      </c>
      <c r="L88" s="13">
        <v>6</v>
      </c>
      <c r="M88" s="12">
        <v>208</v>
      </c>
      <c r="N88" s="13">
        <v>8</v>
      </c>
      <c r="O88" s="12">
        <v>34</v>
      </c>
      <c r="P88" s="13">
        <v>4</v>
      </c>
      <c r="Q88" s="12">
        <v>16</v>
      </c>
      <c r="R88" s="13">
        <v>1</v>
      </c>
      <c r="S88" s="12">
        <v>46</v>
      </c>
      <c r="T88" s="13">
        <v>4</v>
      </c>
      <c r="U88" s="12">
        <v>156</v>
      </c>
      <c r="V88" s="13">
        <v>7</v>
      </c>
      <c r="W88" s="12">
        <v>0</v>
      </c>
      <c r="X88" s="13">
        <v>0</v>
      </c>
      <c r="Y88" s="12">
        <v>0</v>
      </c>
      <c r="Z88" s="13">
        <v>0</v>
      </c>
      <c r="AA88" s="14">
        <v>783</v>
      </c>
      <c r="AB88" s="15">
        <v>40</v>
      </c>
    </row>
    <row r="89" spans="1:28" x14ac:dyDescent="0.35">
      <c r="A89" s="10">
        <v>70</v>
      </c>
      <c r="B89" s="11" t="s">
        <v>101</v>
      </c>
      <c r="C89" s="12">
        <f>+'[1]ATL-LITO'!I12</f>
        <v>0</v>
      </c>
      <c r="D89" s="13">
        <f>+'[1]ATL-LITO'!J12</f>
        <v>0</v>
      </c>
      <c r="E89" s="14">
        <f>+'[1]ATL-LITO'!Q12</f>
        <v>62.5</v>
      </c>
      <c r="F89" s="15">
        <f>+'[1]ATL-LITO'!R12</f>
        <v>1.5</v>
      </c>
      <c r="G89" s="14">
        <f>+'[1]ATL-LITO'!Y12</f>
        <v>101</v>
      </c>
      <c r="H89" s="15">
        <f>+'[1]ATL-LITO'!Z12</f>
        <v>3.5</v>
      </c>
      <c r="I89" s="12">
        <f>+'[1]ATL-LITO'!AG12</f>
        <v>88</v>
      </c>
      <c r="J89" s="13">
        <f>+'[1]ATL-LITO'!AH12</f>
        <v>6.5</v>
      </c>
      <c r="K89" s="12">
        <v>202.5</v>
      </c>
      <c r="L89" s="13">
        <v>8.5</v>
      </c>
      <c r="M89" s="12">
        <v>168</v>
      </c>
      <c r="N89" s="13">
        <v>9</v>
      </c>
      <c r="O89" s="12">
        <v>16.5</v>
      </c>
      <c r="P89" s="13">
        <v>2</v>
      </c>
      <c r="Q89" s="12">
        <v>3</v>
      </c>
      <c r="R89" s="13">
        <v>1.5</v>
      </c>
      <c r="S89" s="12">
        <v>91.5</v>
      </c>
      <c r="T89" s="13">
        <v>8</v>
      </c>
      <c r="U89" s="12">
        <v>299.5</v>
      </c>
      <c r="V89" s="13">
        <v>14</v>
      </c>
      <c r="W89" s="12">
        <v>36</v>
      </c>
      <c r="X89" s="13">
        <v>2.5</v>
      </c>
      <c r="Y89" s="12">
        <v>0</v>
      </c>
      <c r="Z89" s="13">
        <v>0</v>
      </c>
      <c r="AA89" s="14">
        <v>1068.5</v>
      </c>
      <c r="AB89" s="15">
        <v>57</v>
      </c>
    </row>
    <row r="90" spans="1:28" x14ac:dyDescent="0.35">
      <c r="A90" s="10">
        <v>71</v>
      </c>
      <c r="B90" s="11" t="s">
        <v>102</v>
      </c>
      <c r="C90" s="12">
        <f>+'[1]ATL-LITO'!I15</f>
        <v>0</v>
      </c>
      <c r="D90" s="13">
        <f>+'[1]ATL-LITO'!J15</f>
        <v>0</v>
      </c>
      <c r="E90" s="14">
        <f>+'[1]ATL-LITO'!Q15</f>
        <v>4</v>
      </c>
      <c r="F90" s="15">
        <f>+'[1]ATL-LITO'!R15</f>
        <v>1</v>
      </c>
      <c r="G90" s="14">
        <f>+'[1]ATL-LITO'!Y15</f>
        <v>110</v>
      </c>
      <c r="H90" s="15">
        <f>+'[1]ATL-LITO'!Z15</f>
        <v>2</v>
      </c>
      <c r="I90" s="12">
        <f>+'[1]ATL-LITO'!AG15</f>
        <v>181</v>
      </c>
      <c r="J90" s="13">
        <f>+'[1]ATL-LITO'!AH15</f>
        <v>6</v>
      </c>
      <c r="K90" s="12">
        <v>213</v>
      </c>
      <c r="L90" s="13">
        <v>8</v>
      </c>
      <c r="M90" s="12">
        <v>159</v>
      </c>
      <c r="N90" s="13">
        <v>10</v>
      </c>
      <c r="O90" s="12">
        <v>17</v>
      </c>
      <c r="P90" s="13">
        <v>3</v>
      </c>
      <c r="Q90" s="12">
        <v>23</v>
      </c>
      <c r="R90" s="13">
        <v>3</v>
      </c>
      <c r="S90" s="12">
        <v>53</v>
      </c>
      <c r="T90" s="13">
        <v>6</v>
      </c>
      <c r="U90" s="12">
        <v>157</v>
      </c>
      <c r="V90" s="13">
        <v>10</v>
      </c>
      <c r="W90" s="12">
        <v>46</v>
      </c>
      <c r="X90" s="13">
        <v>4</v>
      </c>
      <c r="Y90" s="12">
        <v>0</v>
      </c>
      <c r="Z90" s="13">
        <v>0</v>
      </c>
      <c r="AA90" s="14">
        <v>963</v>
      </c>
      <c r="AB90" s="15">
        <v>53</v>
      </c>
    </row>
    <row r="91" spans="1:28" x14ac:dyDescent="0.35">
      <c r="A91" s="10">
        <v>72</v>
      </c>
      <c r="B91" s="11" t="s">
        <v>103</v>
      </c>
      <c r="C91" s="12">
        <f>+'[1]ATL-LITO'!I18</f>
        <v>0</v>
      </c>
      <c r="D91" s="13">
        <f>+'[1]ATL-LITO'!J18</f>
        <v>0</v>
      </c>
      <c r="E91" s="14">
        <f>+'[1]ATL-LITO'!Q18</f>
        <v>3.5</v>
      </c>
      <c r="F91" s="15">
        <f>+'[1]ATL-LITO'!R18</f>
        <v>1.5</v>
      </c>
      <c r="G91" s="14">
        <f>+'[1]ATL-LITO'!Y18</f>
        <v>40.85</v>
      </c>
      <c r="H91" s="15">
        <f>+'[1]ATL-LITO'!Z18</f>
        <v>2.5</v>
      </c>
      <c r="I91" s="12">
        <f>+'[1]ATL-LITO'!AG18</f>
        <v>144.25</v>
      </c>
      <c r="J91" s="13">
        <f>+'[1]ATL-LITO'!AH18</f>
        <v>7.5</v>
      </c>
      <c r="K91" s="12">
        <v>220.67500000000001</v>
      </c>
      <c r="L91" s="13">
        <v>9</v>
      </c>
      <c r="M91" s="12">
        <v>321.10000000000002</v>
      </c>
      <c r="N91" s="13">
        <v>13</v>
      </c>
      <c r="O91" s="12">
        <v>8.15</v>
      </c>
      <c r="P91" s="13">
        <v>4</v>
      </c>
      <c r="Q91" s="12">
        <v>14.55</v>
      </c>
      <c r="R91" s="13">
        <v>2.5</v>
      </c>
      <c r="S91" s="12">
        <v>37.799999999999997</v>
      </c>
      <c r="T91" s="13">
        <v>4.5</v>
      </c>
      <c r="U91" s="12">
        <v>211.35</v>
      </c>
      <c r="V91" s="13">
        <v>14</v>
      </c>
      <c r="W91" s="12">
        <v>34.65</v>
      </c>
      <c r="X91" s="13">
        <v>4</v>
      </c>
      <c r="Y91" s="12">
        <v>0</v>
      </c>
      <c r="Z91" s="13">
        <v>0</v>
      </c>
      <c r="AA91" s="14">
        <v>1036.875</v>
      </c>
      <c r="AB91" s="15">
        <v>62.5</v>
      </c>
    </row>
    <row r="92" spans="1:28" x14ac:dyDescent="0.35">
      <c r="A92" s="10">
        <v>73</v>
      </c>
      <c r="B92" s="11" t="s">
        <v>104</v>
      </c>
      <c r="C92" s="12">
        <f>+'[1]ATL-LITO'!I21</f>
        <v>0</v>
      </c>
      <c r="D92" s="13">
        <f>+'[1]ATL-LITO'!J21</f>
        <v>0</v>
      </c>
      <c r="E92" s="14">
        <f>+'[1]ATL-LITO'!Q21</f>
        <v>6</v>
      </c>
      <c r="F92" s="15">
        <f>+'[1]ATL-LITO'!R21</f>
        <v>1</v>
      </c>
      <c r="G92" s="14">
        <f>+'[1]ATL-LITO'!Y21</f>
        <v>40</v>
      </c>
      <c r="H92" s="15">
        <f>+'[1]ATL-LITO'!Z21</f>
        <v>3</v>
      </c>
      <c r="I92" s="12">
        <f>+'[1]ATL-LITO'!AG21</f>
        <v>110</v>
      </c>
      <c r="J92" s="13">
        <f>+'[1]ATL-LITO'!AH21</f>
        <v>6</v>
      </c>
      <c r="K92" s="12">
        <v>179</v>
      </c>
      <c r="L92" s="13">
        <v>8</v>
      </c>
      <c r="M92" s="12">
        <v>218</v>
      </c>
      <c r="N92" s="13">
        <v>8</v>
      </c>
      <c r="O92" s="12">
        <v>36</v>
      </c>
      <c r="P92" s="13">
        <v>4</v>
      </c>
      <c r="Q92" s="12">
        <v>6</v>
      </c>
      <c r="R92" s="13">
        <v>2</v>
      </c>
      <c r="S92" s="12">
        <v>26</v>
      </c>
      <c r="T92" s="13">
        <v>5</v>
      </c>
      <c r="U92" s="12">
        <v>135</v>
      </c>
      <c r="V92" s="13">
        <v>8</v>
      </c>
      <c r="W92" s="12">
        <v>48</v>
      </c>
      <c r="X92" s="13">
        <v>4</v>
      </c>
      <c r="Y92" s="12">
        <v>0</v>
      </c>
      <c r="Z92" s="13">
        <v>0</v>
      </c>
      <c r="AA92" s="14">
        <v>804</v>
      </c>
      <c r="AB92" s="15">
        <v>49</v>
      </c>
    </row>
    <row r="93" spans="1:28" x14ac:dyDescent="0.35">
      <c r="A93" s="10">
        <v>74</v>
      </c>
      <c r="B93" s="11" t="s">
        <v>105</v>
      </c>
      <c r="C93" s="12">
        <f>+'[1]ATL-LITO'!I24</f>
        <v>44</v>
      </c>
      <c r="D93" s="13">
        <f>+'[1]ATL-LITO'!J24</f>
        <v>2</v>
      </c>
      <c r="E93" s="14">
        <f>+'[1]ATL-LITO'!Q24</f>
        <v>7.5</v>
      </c>
      <c r="F93" s="15">
        <f>+'[1]ATL-LITO'!R24</f>
        <v>0.5</v>
      </c>
      <c r="G93" s="14">
        <f>+'[1]ATL-LITO'!Y24</f>
        <v>82.5</v>
      </c>
      <c r="H93" s="15">
        <f>+'[1]ATL-LITO'!Z24</f>
        <v>4</v>
      </c>
      <c r="I93" s="12">
        <f>+'[1]ATL-LITO'!AG24</f>
        <v>174.5</v>
      </c>
      <c r="J93" s="13">
        <f>+'[1]ATL-LITO'!AH24</f>
        <v>6.5</v>
      </c>
      <c r="K93" s="12">
        <v>205</v>
      </c>
      <c r="L93" s="13">
        <v>7</v>
      </c>
      <c r="M93" s="12">
        <v>283</v>
      </c>
      <c r="N93" s="13">
        <v>8</v>
      </c>
      <c r="O93" s="12">
        <v>32.5</v>
      </c>
      <c r="P93" s="13">
        <v>2</v>
      </c>
      <c r="Q93" s="12">
        <v>38.5</v>
      </c>
      <c r="R93" s="13">
        <v>3.5</v>
      </c>
      <c r="S93" s="12">
        <v>170.5</v>
      </c>
      <c r="T93" s="13">
        <v>8</v>
      </c>
      <c r="U93" s="12">
        <v>339.5</v>
      </c>
      <c r="V93" s="13">
        <v>12.5</v>
      </c>
      <c r="W93" s="12">
        <v>23.5</v>
      </c>
      <c r="X93" s="13">
        <v>1</v>
      </c>
      <c r="Y93" s="12">
        <v>0</v>
      </c>
      <c r="Z93" s="13">
        <v>0</v>
      </c>
      <c r="AA93" s="14">
        <v>1401</v>
      </c>
      <c r="AB93" s="15">
        <v>55</v>
      </c>
    </row>
    <row r="94" spans="1:28" x14ac:dyDescent="0.35">
      <c r="A94" s="10">
        <v>75</v>
      </c>
      <c r="B94" s="11" t="s">
        <v>106</v>
      </c>
      <c r="C94" s="12">
        <f>+'[1]ATL-LITO'!I27</f>
        <v>0</v>
      </c>
      <c r="D94" s="13">
        <f>+'[1]ATL-LITO'!J27</f>
        <v>0</v>
      </c>
      <c r="E94" s="14">
        <f>+'[1]ATL-LITO'!Q27</f>
        <v>12</v>
      </c>
      <c r="F94" s="15">
        <f>+'[1]ATL-LITO'!R27</f>
        <v>1.5</v>
      </c>
      <c r="G94" s="14">
        <f>+'[1]ATL-LITO'!Y27</f>
        <v>52</v>
      </c>
      <c r="H94" s="15">
        <f>+'[1]ATL-LITO'!Z27</f>
        <v>3</v>
      </c>
      <c r="I94" s="12">
        <f>+'[1]ATL-LITO'!AG27</f>
        <v>126</v>
      </c>
      <c r="J94" s="13">
        <f>+'[1]ATL-LITO'!AH27</f>
        <v>4.5</v>
      </c>
      <c r="K94" s="12">
        <v>186.5</v>
      </c>
      <c r="L94" s="13">
        <v>7.5</v>
      </c>
      <c r="M94" s="12">
        <v>222</v>
      </c>
      <c r="N94" s="13">
        <v>10</v>
      </c>
      <c r="O94" s="12">
        <v>12.5</v>
      </c>
      <c r="P94" s="13">
        <v>4</v>
      </c>
      <c r="Q94" s="12">
        <v>18</v>
      </c>
      <c r="R94" s="13">
        <v>3.5</v>
      </c>
      <c r="S94" s="12">
        <v>80.5</v>
      </c>
      <c r="T94" s="13">
        <v>4</v>
      </c>
      <c r="U94" s="12">
        <v>208</v>
      </c>
      <c r="V94" s="13">
        <v>12.5</v>
      </c>
      <c r="W94" s="12">
        <v>55.5</v>
      </c>
      <c r="X94" s="13">
        <v>3.5</v>
      </c>
      <c r="Y94" s="12">
        <v>0</v>
      </c>
      <c r="Z94" s="13">
        <v>0</v>
      </c>
      <c r="AA94" s="14">
        <v>973</v>
      </c>
      <c r="AB94" s="15">
        <v>54</v>
      </c>
    </row>
    <row r="95" spans="1:28" x14ac:dyDescent="0.35">
      <c r="A95" s="10">
        <v>76</v>
      </c>
      <c r="B95" s="11" t="s">
        <v>107</v>
      </c>
      <c r="C95" s="12">
        <f>+'[1]ATL-LITO'!I30</f>
        <v>20</v>
      </c>
      <c r="D95" s="13">
        <f>+'[1]ATL-LITO'!J30</f>
        <v>1</v>
      </c>
      <c r="E95" s="14">
        <f>+'[1]ATL-LITO'!Q30</f>
        <v>8</v>
      </c>
      <c r="F95" s="15">
        <f>+'[1]ATL-LITO'!R30</f>
        <v>2</v>
      </c>
      <c r="G95" s="14">
        <f>+'[1]ATL-LITO'!Y30</f>
        <v>106</v>
      </c>
      <c r="H95" s="15">
        <f>+'[1]ATL-LITO'!Z30</f>
        <v>4</v>
      </c>
      <c r="I95" s="12">
        <f>+'[1]ATL-LITO'!AG30</f>
        <v>76</v>
      </c>
      <c r="J95" s="13">
        <f>+'[1]ATL-LITO'!AH30</f>
        <v>4</v>
      </c>
      <c r="K95" s="12">
        <v>88</v>
      </c>
      <c r="L95" s="13">
        <v>5</v>
      </c>
      <c r="M95" s="12">
        <v>335</v>
      </c>
      <c r="N95" s="13">
        <v>12</v>
      </c>
      <c r="O95" s="12">
        <v>34</v>
      </c>
      <c r="P95" s="13">
        <v>3</v>
      </c>
      <c r="Q95" s="12">
        <v>13</v>
      </c>
      <c r="R95" s="13">
        <v>3</v>
      </c>
      <c r="S95" s="12">
        <v>170</v>
      </c>
      <c r="T95" s="13">
        <v>7</v>
      </c>
      <c r="U95" s="12">
        <v>474</v>
      </c>
      <c r="V95" s="13">
        <v>12</v>
      </c>
      <c r="W95" s="12">
        <v>0</v>
      </c>
      <c r="X95" s="13">
        <v>0</v>
      </c>
      <c r="Y95" s="12">
        <v>0</v>
      </c>
      <c r="Z95" s="13">
        <v>0</v>
      </c>
      <c r="AA95" s="14">
        <v>1324</v>
      </c>
      <c r="AB95" s="15">
        <v>53</v>
      </c>
    </row>
    <row r="96" spans="1:28" ht="22.5" customHeight="1" x14ac:dyDescent="0.35">
      <c r="A96" s="16" t="s">
        <v>108</v>
      </c>
      <c r="B96" s="16"/>
      <c r="C96" s="17">
        <f>+'[1]ATL-LITO'!I31</f>
        <v>9</v>
      </c>
      <c r="D96" s="17">
        <f>+'[1]ATL-LITO'!J31</f>
        <v>0.41666666666666669</v>
      </c>
      <c r="E96" s="17">
        <f>+'[1]ATL-LITO'!Q31</f>
        <v>15.75</v>
      </c>
      <c r="F96" s="17">
        <f>+'[1]ATL-LITO'!R31</f>
        <v>1.1666666666666667</v>
      </c>
      <c r="G96" s="17">
        <f>+'[1]ATL-LITO'!Y31</f>
        <v>74.474999999999994</v>
      </c>
      <c r="H96" s="17">
        <f>+'[1]ATL-LITO'!Z31</f>
        <v>3.333333333333333</v>
      </c>
      <c r="I96" s="17">
        <f>+'[1]ATL-LITO'!AG31</f>
        <v>126.45833333333334</v>
      </c>
      <c r="J96" s="17">
        <f>+'[1]ATL-LITO'!AH31</f>
        <v>5.9166666666666661</v>
      </c>
      <c r="K96" s="17">
        <v>188.52916666666667</v>
      </c>
      <c r="L96" s="17">
        <v>7.5833333333333339</v>
      </c>
      <c r="M96" s="17">
        <v>242.35000000000002</v>
      </c>
      <c r="N96" s="17">
        <v>9.8333333333333321</v>
      </c>
      <c r="O96" s="17">
        <v>21.691666666666666</v>
      </c>
      <c r="P96" s="17">
        <v>3.1666666666666665</v>
      </c>
      <c r="Q96" s="17">
        <v>17.175000000000001</v>
      </c>
      <c r="R96" s="17">
        <v>2.5833333333333335</v>
      </c>
      <c r="S96" s="17">
        <v>87.966666666666669</v>
      </c>
      <c r="T96" s="17">
        <v>5.9166666666666661</v>
      </c>
      <c r="U96" s="17">
        <v>253.22499999999997</v>
      </c>
      <c r="V96" s="17">
        <v>11.916666666666666</v>
      </c>
      <c r="W96" s="17">
        <v>32.774999999999999</v>
      </c>
      <c r="X96" s="17">
        <v>2.5</v>
      </c>
      <c r="Y96" s="17">
        <v>0</v>
      </c>
      <c r="Z96" s="17">
        <v>0</v>
      </c>
      <c r="AA96" s="17">
        <v>1069.3958333333335</v>
      </c>
      <c r="AB96" s="17">
        <v>54.333333333333329</v>
      </c>
    </row>
    <row r="97" spans="1:28" x14ac:dyDescent="0.35">
      <c r="A97" s="10">
        <v>77</v>
      </c>
      <c r="B97" s="11" t="s">
        <v>109</v>
      </c>
      <c r="C97" s="12">
        <f>+'[1]ATL-LITO'!I35</f>
        <v>0</v>
      </c>
      <c r="D97" s="13">
        <f>+'[1]ATL-LITO'!J35</f>
        <v>0</v>
      </c>
      <c r="E97" s="12">
        <f>+'[1]ATL-LITO'!Q35</f>
        <v>20.2</v>
      </c>
      <c r="F97" s="13">
        <f>+'[1]ATL-LITO'!R35</f>
        <v>2</v>
      </c>
      <c r="G97" s="12">
        <f>+'[1]ATL-LITO'!Y35</f>
        <v>37.200000000000003</v>
      </c>
      <c r="H97" s="13">
        <f>+'[1]ATL-LITO'!Z35</f>
        <v>3</v>
      </c>
      <c r="I97" s="12">
        <f>+'[1]ATL-LITO'!AG35</f>
        <v>37.299999999999997</v>
      </c>
      <c r="J97" s="13">
        <f>+'[1]ATL-LITO'!AH35</f>
        <v>6</v>
      </c>
      <c r="K97" s="12">
        <v>92.9</v>
      </c>
      <c r="L97" s="13">
        <v>7</v>
      </c>
      <c r="M97" s="12">
        <v>176</v>
      </c>
      <c r="N97" s="13">
        <v>14</v>
      </c>
      <c r="O97" s="12">
        <v>22</v>
      </c>
      <c r="P97" s="13">
        <v>1</v>
      </c>
      <c r="Q97" s="12">
        <v>4.4000000000000004</v>
      </c>
      <c r="R97" s="13">
        <v>3</v>
      </c>
      <c r="S97" s="12">
        <v>21.5</v>
      </c>
      <c r="T97" s="13">
        <v>4</v>
      </c>
      <c r="U97" s="12">
        <v>106.2</v>
      </c>
      <c r="V97" s="13">
        <v>9</v>
      </c>
      <c r="W97" s="12">
        <v>20.3</v>
      </c>
      <c r="X97" s="13">
        <v>2</v>
      </c>
      <c r="Y97" s="12">
        <v>0</v>
      </c>
      <c r="Z97" s="13">
        <v>0</v>
      </c>
      <c r="AA97" s="14">
        <v>538</v>
      </c>
      <c r="AB97" s="15">
        <v>51</v>
      </c>
    </row>
    <row r="98" spans="1:28" ht="18.75" customHeight="1" x14ac:dyDescent="0.35">
      <c r="A98" s="16" t="s">
        <v>110</v>
      </c>
      <c r="B98" s="16"/>
      <c r="C98" s="17">
        <f>+'[1]ATL-LITO'!I35</f>
        <v>0</v>
      </c>
      <c r="D98" s="17">
        <f>+'[1]ATL-LITO'!J35</f>
        <v>0</v>
      </c>
      <c r="E98" s="17">
        <f>+'[1]ATL-LITO'!Q35</f>
        <v>20.2</v>
      </c>
      <c r="F98" s="17">
        <f>+'[1]ATL-LITO'!R35</f>
        <v>2</v>
      </c>
      <c r="G98" s="17">
        <f>+'[1]ATL-LITO'!Y35</f>
        <v>37.200000000000003</v>
      </c>
      <c r="H98" s="17">
        <f>+'[1]ATL-LITO'!Z35</f>
        <v>3</v>
      </c>
      <c r="I98" s="17">
        <f>+'[1]ATL-LITO'!AG35</f>
        <v>37.299999999999997</v>
      </c>
      <c r="J98" s="17">
        <f>+'[1]ATL-LITO'!AH35</f>
        <v>6</v>
      </c>
      <c r="K98" s="17">
        <v>92.9</v>
      </c>
      <c r="L98" s="17">
        <v>7</v>
      </c>
      <c r="M98" s="17">
        <v>176</v>
      </c>
      <c r="N98" s="17">
        <v>14</v>
      </c>
      <c r="O98" s="17">
        <v>22</v>
      </c>
      <c r="P98" s="17">
        <v>1</v>
      </c>
      <c r="Q98" s="17">
        <v>4.4000000000000004</v>
      </c>
      <c r="R98" s="17">
        <v>3</v>
      </c>
      <c r="S98" s="17">
        <v>21.5</v>
      </c>
      <c r="T98" s="17">
        <v>4</v>
      </c>
      <c r="U98" s="17">
        <v>106.2</v>
      </c>
      <c r="V98" s="17">
        <v>9</v>
      </c>
      <c r="W98" s="17">
        <v>20.3</v>
      </c>
      <c r="X98" s="17">
        <v>2</v>
      </c>
      <c r="Y98" s="17">
        <v>0</v>
      </c>
      <c r="Z98" s="17">
        <v>0</v>
      </c>
      <c r="AA98" s="17">
        <v>538</v>
      </c>
      <c r="AB98" s="17">
        <v>51</v>
      </c>
    </row>
    <row r="99" spans="1:28" ht="18.5" x14ac:dyDescent="0.35">
      <c r="A99" s="22" t="s">
        <v>111</v>
      </c>
      <c r="B99" s="22"/>
      <c r="C99" s="17">
        <f>+'[1]ATL-LITO'!I36</f>
        <v>8.3076923076923084</v>
      </c>
      <c r="D99" s="17">
        <f>+'[1]ATL-LITO'!J36</f>
        <v>0.38461538461538464</v>
      </c>
      <c r="E99" s="17">
        <f>+'[1]ATL-LITO'!Q36</f>
        <v>16.092307692307692</v>
      </c>
      <c r="F99" s="17">
        <f>+'[1]ATL-LITO'!R36</f>
        <v>1.2307692307692308</v>
      </c>
      <c r="G99" s="17">
        <f>+'[1]ATL-LITO'!Y36</f>
        <v>71.607692307692304</v>
      </c>
      <c r="H99" s="17">
        <f>+'[1]ATL-LITO'!Z36</f>
        <v>3.3076923076923075</v>
      </c>
      <c r="I99" s="17">
        <f>+'[1]ATL-LITO'!AG36</f>
        <v>119.60000000000001</v>
      </c>
      <c r="J99" s="17">
        <f>+'[1]ATL-LITO'!AH36</f>
        <v>5.9230769230769234</v>
      </c>
      <c r="K99" s="17">
        <v>181.17307692307693</v>
      </c>
      <c r="L99" s="17">
        <v>7.5384615384615383</v>
      </c>
      <c r="M99" s="17">
        <v>237.24615384615385</v>
      </c>
      <c r="N99" s="17">
        <v>10.153846153846153</v>
      </c>
      <c r="O99" s="17">
        <v>21.715384615384615</v>
      </c>
      <c r="P99" s="17">
        <v>3</v>
      </c>
      <c r="Q99" s="17">
        <v>16.192307692307693</v>
      </c>
      <c r="R99" s="17">
        <v>2.6153846153846154</v>
      </c>
      <c r="S99" s="17">
        <v>82.853846153846149</v>
      </c>
      <c r="T99" s="17">
        <v>5.7692307692307683</v>
      </c>
      <c r="U99" s="17">
        <v>241.9153846153846</v>
      </c>
      <c r="V99" s="17">
        <v>11.692307692307692</v>
      </c>
      <c r="W99" s="17">
        <v>31.815384615384616</v>
      </c>
      <c r="X99" s="17">
        <v>2.4615384615384612</v>
      </c>
      <c r="Y99" s="17">
        <v>0</v>
      </c>
      <c r="Z99" s="17">
        <v>0</v>
      </c>
      <c r="AA99" s="17">
        <v>1028.5192307692309</v>
      </c>
      <c r="AB99" s="17">
        <v>54.076923076923073</v>
      </c>
    </row>
    <row r="100" spans="1:28" ht="21.5" x14ac:dyDescent="0.35">
      <c r="A100" s="16" t="s">
        <v>112</v>
      </c>
      <c r="B100" s="16"/>
      <c r="C100" s="17">
        <f>AVERAGE(C5:C12,C14:C19,C22:C30,C32:C35,C38:C46,C48:C53,C56:C61,C63:C68,C71:C79,C81:C85,C88:C95,C97)</f>
        <v>1.5756060606060607</v>
      </c>
      <c r="D100" s="17">
        <f t="shared" ref="D100:J100" si="0">AVERAGE(D5:D12,D14:D19,D22:D30,D32:D35,D38:D46,D48:D53,D56:D61,D63:D68,D71:D79,D81:D85,D88:D95,D97)</f>
        <v>0.24025974025974026</v>
      </c>
      <c r="E100" s="17">
        <f t="shared" si="0"/>
        <v>10.605570500927644</v>
      </c>
      <c r="F100" s="17">
        <f t="shared" si="0"/>
        <v>0.83766233766233766</v>
      </c>
      <c r="G100" s="17">
        <f t="shared" si="0"/>
        <v>36.792423469387742</v>
      </c>
      <c r="H100" s="17">
        <f t="shared" si="0"/>
        <v>2.4870129870129869</v>
      </c>
      <c r="I100" s="17">
        <f t="shared" si="0"/>
        <v>96.10710708663629</v>
      </c>
      <c r="J100" s="17">
        <f t="shared" si="0"/>
        <v>5.6688311688311686</v>
      </c>
      <c r="K100" s="17">
        <v>139.95600423998798</v>
      </c>
      <c r="L100" s="17">
        <v>6.6298701298701301</v>
      </c>
      <c r="M100" s="17">
        <v>172.77015877700941</v>
      </c>
      <c r="N100" s="17">
        <v>8.4350649350649345</v>
      </c>
      <c r="O100" s="17">
        <v>93.819779848578563</v>
      </c>
      <c r="P100" s="17">
        <v>5.1818181818181817</v>
      </c>
      <c r="Q100" s="17">
        <v>109.73371990779788</v>
      </c>
      <c r="R100" s="17">
        <v>6.2597402597402594</v>
      </c>
      <c r="S100" s="17">
        <v>160.91609446505876</v>
      </c>
      <c r="T100" s="17">
        <v>8.8896103896103895</v>
      </c>
      <c r="U100" s="17">
        <v>188.54297711811995</v>
      </c>
      <c r="V100" s="17">
        <v>10.525974025974026</v>
      </c>
      <c r="W100" s="17">
        <v>9.2597124304267151</v>
      </c>
      <c r="X100" s="17">
        <v>1.0454545454545454</v>
      </c>
      <c r="Y100" s="17">
        <v>0</v>
      </c>
      <c r="Z100" s="17">
        <v>0</v>
      </c>
      <c r="AA100" s="17">
        <v>1020.0791539045371</v>
      </c>
      <c r="AB100" s="17">
        <v>56.201298701298697</v>
      </c>
    </row>
    <row r="102" spans="1:28" x14ac:dyDescent="0.35">
      <c r="AA102" s="23"/>
      <c r="AB102" s="24"/>
    </row>
  </sheetData>
  <mergeCells count="34">
    <mergeCell ref="A96:B96"/>
    <mergeCell ref="A98:B98"/>
    <mergeCell ref="A99:B99"/>
    <mergeCell ref="A100:B100"/>
    <mergeCell ref="A62:B62"/>
    <mergeCell ref="A69:B69"/>
    <mergeCell ref="A70:B70"/>
    <mergeCell ref="A80:B80"/>
    <mergeCell ref="A86:B86"/>
    <mergeCell ref="A87:B87"/>
    <mergeCell ref="A31:B31"/>
    <mergeCell ref="A36:B36"/>
    <mergeCell ref="A37:B37"/>
    <mergeCell ref="A47:B47"/>
    <mergeCell ref="A54:B54"/>
    <mergeCell ref="A55:B55"/>
    <mergeCell ref="W3:X3"/>
    <mergeCell ref="Y3:Z3"/>
    <mergeCell ref="AA3:AB3"/>
    <mergeCell ref="A13:B13"/>
    <mergeCell ref="A20:B20"/>
    <mergeCell ref="A21:B21"/>
    <mergeCell ref="K3:L3"/>
    <mergeCell ref="M3:N3"/>
    <mergeCell ref="O3:P3"/>
    <mergeCell ref="Q3:R3"/>
    <mergeCell ref="S3:T3"/>
    <mergeCell ref="U3:V3"/>
    <mergeCell ref="A3:A4"/>
    <mergeCell ref="B3:B4"/>
    <mergeCell ref="C3:D3"/>
    <mergeCell ref="E3:F3"/>
    <mergeCell ref="G3:H3"/>
    <mergeCell ref="I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BENIN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2026-02-24T16:05:13Z</dcterms:created>
  <dcterms:modified xsi:type="dcterms:W3CDTF">2026-02-24T16:06:05Z</dcterms:modified>
</cp:coreProperties>
</file>